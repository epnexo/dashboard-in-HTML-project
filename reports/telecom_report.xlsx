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epanalyticservice-my.sharepoint.com/personal/epedraza_epnexo_dev/Documents/Claude flow/HTML Report/primer test/reports/"/>
    </mc:Choice>
  </mc:AlternateContent>
  <xr:revisionPtr revIDLastSave="4" documentId="8_{91DFD360-9367-4FF1-88EC-8ACF53ABEA89}" xr6:coauthVersionLast="47" xr6:coauthVersionMax="47" xr10:uidLastSave="{580F8A32-B8CA-4B8B-A355-873A42CE8AAF}"/>
  <bookViews>
    <workbookView xWindow="-120" yWindow="-120" windowWidth="21840" windowHeight="13020" xr2:uid="{3E1A10EB-C8AA-48ED-9C97-EEB25AE1CF7E}"/>
  </bookViews>
  <sheets>
    <sheet name="Dashboard" sheetId="1" r:id="rId1"/>
    <sheet name="Detail" sheetId="2" r:id="rId2"/>
    <sheet name="Pivots" sheetId="3" r:id="rId3"/>
    <sheet name="Cleaning" sheetId="4" r:id="rId4"/>
    <sheet name="Read me" sheetId="5" r:id="rId5"/>
  </sheets>
  <definedNames>
    <definedName name="Slicer_Channel">#N/A</definedName>
    <definedName name="Slicer_Product">#N/A</definedName>
    <definedName name="Slicer_Quarter">#N/A</definedName>
    <definedName name="Slicer_Region">#N/A</definedName>
    <definedName name="Slicer_Segment">#N/A</definedName>
  </definedNames>
  <calcPr calcId="191029"/>
  <pivotCaches>
    <pivotCache cacheId="8" r:id="rId6"/>
    <pivotCache cacheId="84" r:id="rId7"/>
    <pivotCache cacheId="87" r:id="rId8"/>
    <pivotCache cacheId="90" r:id="rId9"/>
    <pivotCache cacheId="93" r:id="rId10"/>
    <pivotCache cacheId="96" r:id="rId11"/>
    <pivotCache cacheId="99" r:id="rId12"/>
    <pivotCache cacheId="102" r:id="rId13"/>
    <pivotCache cacheId="105"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nsactions_c208acd1-bfec-415d-9a9d-c30d9b22db53" name="Transactions" connection="Query - Transactions"/>
          <x15:modelTable id="Calendar_bb8049cd-3a10-4559-9adc-5f0698b0932b" name="Calendar" connection="Query - Calendar"/>
        </x15:modelTables>
        <x15:modelRelationships>
          <x15:modelRelationship fromTable="Transactions" fromColumn="txn_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6" i="1" l="1"/>
  <c r="P6" i="1"/>
  <c r="M6" i="1"/>
  <c r="J6" i="1"/>
  <c r="G6" i="1"/>
  <c r="D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A55B92-DC0E-4D40-9569-8353E4091F22}" name="Query - Calendar" description="Connection to the 'Calendar' query in the workbook." type="100" refreshedVersion="8" minRefreshableVersion="5">
    <extLst>
      <ext xmlns:x15="http://schemas.microsoft.com/office/spreadsheetml/2010/11/main" uri="{DE250136-89BD-433C-8126-D09CA5730AF9}">
        <x15:connection id="29c1e65c-a052-487b-9249-1b8f67803159"/>
      </ext>
    </extLst>
  </connection>
  <connection id="2" xr16:uid="{E29B4098-4D68-4729-A95F-491302851564}" name="Query - Transactions" description="Connection to the 'Transactions' query in the workbook." type="100" refreshedVersion="8" minRefreshableVersion="5">
    <extLst>
      <ext xmlns:x15="http://schemas.microsoft.com/office/spreadsheetml/2010/11/main" uri="{DE250136-89BD-433C-8126-D09CA5730AF9}">
        <x15:connection id="6387ad59-9fdc-483d-b402-f7eee2647d7c"/>
      </ext>
    </extLst>
  </connection>
  <connection id="3" xr16:uid="{48DAC22B-0CFA-44A4-94A2-BAFE36DFA3D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5">
    <s v="ThisWorkbookDataModel"/>
    <s v="{[Transactions].[region].[All]}"/>
    <s v="{[Transactions].[customer_segment].[All]}"/>
    <s v="{[Transactions].[product_type].[All]}"/>
    <s v="{[Transactions].[channel].[All]}"/>
    <s v="{[Calendar].[Quarter].[All]}"/>
    <s v="[Measures].[Revenue]"/>
    <s v="#,0.00"/>
    <s v="[Measures].[Transaction Count]"/>
    <s v="#,0"/>
    <s v="[Measures].[Success Rate]"/>
    <s v="0.0%;-0.0%;0.0%"/>
    <s v="[Measures].[Active Customers]"/>
    <s v="[Measures].[Average Ticket]"/>
    <s v="[Measures].[Revenue Lost]"/>
  </metadataStrings>
  <mdxMetadata count="6">
    <mdx n="0" f="v">
      <t c="6" si="7">
        <n x="6"/>
        <n x="1" s="1"/>
        <n x="2" s="1"/>
        <n x="3" s="1"/>
        <n x="4" s="1"/>
        <n x="5" s="1"/>
      </t>
    </mdx>
    <mdx n="0" f="v">
      <t c="6" si="9">
        <n x="8"/>
        <n x="1" s="1"/>
        <n x="2" s="1"/>
        <n x="3" s="1"/>
        <n x="4" s="1"/>
        <n x="5" s="1"/>
      </t>
    </mdx>
    <mdx n="0" f="v">
      <t c="6" si="11">
        <n x="10"/>
        <n x="1" s="1"/>
        <n x="2" s="1"/>
        <n x="3" s="1"/>
        <n x="4" s="1"/>
        <n x="5" s="1"/>
      </t>
    </mdx>
    <mdx n="0" f="v">
      <t c="6" si="9">
        <n x="12"/>
        <n x="1" s="1"/>
        <n x="2" s="1"/>
        <n x="3" s="1"/>
        <n x="4" s="1"/>
        <n x="5" s="1"/>
      </t>
    </mdx>
    <mdx n="0" f="v">
      <t c="6" si="7">
        <n x="13"/>
        <n x="1" s="1"/>
        <n x="2" s="1"/>
        <n x="3" s="1"/>
        <n x="4" s="1"/>
        <n x="5" s="1"/>
      </t>
    </mdx>
    <mdx n="0" f="v">
      <t c="6" si="7">
        <n x="14"/>
        <n x="1" s="1"/>
        <n x="2" s="1"/>
        <n x="3" s="1"/>
        <n x="4" s="1"/>
        <n x="5" s="1"/>
      </t>
    </mdx>
  </mdxMetadata>
  <valueMetadata count="6">
    <bk>
      <rc t="1" v="0"/>
    </bk>
    <bk>
      <rc t="1" v="1"/>
    </bk>
    <bk>
      <rc t="1" v="2"/>
    </bk>
    <bk>
      <rc t="1" v="3"/>
    </bk>
    <bk>
      <rc t="1" v="4"/>
    </bk>
    <bk>
      <rc t="1" v="5"/>
    </bk>
  </valueMetadata>
</metadata>
</file>

<file path=xl/sharedStrings.xml><?xml version="1.0" encoding="utf-8"?>
<sst xmlns="http://schemas.openxmlformats.org/spreadsheetml/2006/main" count="241" uniqueCount="170">
  <si>
    <t>2024-01</t>
  </si>
  <si>
    <t>2024-02</t>
  </si>
  <si>
    <t>2024-03</t>
  </si>
  <si>
    <t>2024-04</t>
  </si>
  <si>
    <t>2024-05</t>
  </si>
  <si>
    <t>2024-06</t>
  </si>
  <si>
    <t>2024-07</t>
  </si>
  <si>
    <t>2024-08</t>
  </si>
  <si>
    <t>2024-09</t>
  </si>
  <si>
    <t>2024-10</t>
  </si>
  <si>
    <t>2024-11</t>
  </si>
  <si>
    <t>2024-12</t>
  </si>
  <si>
    <t>Grand Total</t>
  </si>
  <si>
    <t xml:space="preserve">Revenue </t>
  </si>
  <si>
    <t>YearMonth</t>
  </si>
  <si>
    <t>Adelaide</t>
  </si>
  <si>
    <t>Brisbane</t>
  </si>
  <si>
    <t>Canberra</t>
  </si>
  <si>
    <t>Hobart</t>
  </si>
  <si>
    <t>Melbourne</t>
  </si>
  <si>
    <t>Perth</t>
  </si>
  <si>
    <t>Sydney</t>
  </si>
  <si>
    <t>Unknown</t>
  </si>
  <si>
    <t>region</t>
  </si>
  <si>
    <t>Data Bundle</t>
  </si>
  <si>
    <t>Recharge</t>
  </si>
  <si>
    <t>SMS Bundle</t>
  </si>
  <si>
    <t>Voice Bundle</t>
  </si>
  <si>
    <t>product_type</t>
  </si>
  <si>
    <t>Agent</t>
  </si>
  <si>
    <t>Mobile App</t>
  </si>
  <si>
    <t>USSD</t>
  </si>
  <si>
    <t>Web</t>
  </si>
  <si>
    <t>channel</t>
  </si>
  <si>
    <t xml:space="preserve">Failure Rate </t>
  </si>
  <si>
    <t>Failed</t>
  </si>
  <si>
    <t>Reversed</t>
  </si>
  <si>
    <t>Successful</t>
  </si>
  <si>
    <t xml:space="preserve">Transaction Count </t>
  </si>
  <si>
    <t>status</t>
  </si>
  <si>
    <t>Data 10GB Monthly</t>
  </si>
  <si>
    <t>Data 1GB Daily</t>
  </si>
  <si>
    <t>Data 2GB Weekly</t>
  </si>
  <si>
    <t>Data 40GB Monthly</t>
  </si>
  <si>
    <t>Data 6GB Monthly</t>
  </si>
  <si>
    <t>Recharge $1</t>
  </si>
  <si>
    <t>Recharge $10</t>
  </si>
  <si>
    <t>Recharge $2</t>
  </si>
  <si>
    <t>Recharge $20</t>
  </si>
  <si>
    <t>Recharge $5</t>
  </si>
  <si>
    <t>SMS 200</t>
  </si>
  <si>
    <t>Voice 100min</t>
  </si>
  <si>
    <t>Voice 300min</t>
  </si>
  <si>
    <t xml:space="preserve">Successful Txns </t>
  </si>
  <si>
    <t xml:space="preserve">Average Ticket </t>
  </si>
  <si>
    <t xml:space="preserve">Revenue Lost </t>
  </si>
  <si>
    <t>bundle_name</t>
  </si>
  <si>
    <t xml:space="preserve">Failed Txns </t>
  </si>
  <si>
    <t xml:space="preserve">Reversal Rate </t>
  </si>
  <si>
    <t>Pivot tables that feed the charts on the Dashboard sheet. They follow the slicers.</t>
  </si>
  <si>
    <t>Detail tables</t>
  </si>
  <si>
    <t>PivotTables on the data model. They follow the slicers on the Dashboard sheet.</t>
  </si>
  <si>
    <t>Bundle performance</t>
  </si>
  <si>
    <t>Regions: volume, failures and revenue</t>
  </si>
  <si>
    <t>Revenue</t>
  </si>
  <si>
    <t>Transactions</t>
  </si>
  <si>
    <t>Success rate</t>
  </si>
  <si>
    <t>Active customers</t>
  </si>
  <si>
    <t>Average ticket</t>
  </si>
  <si>
    <t>Revenue lost to failures</t>
  </si>
  <si>
    <t>Cleaning applied</t>
  </si>
  <si>
    <t>4,288 rows in the original file, 55 duplicates removed, 4,233 clean rows. Row-by-row detail in cleaning/findings_detail.csv.</t>
  </si>
  <si>
    <t>What was found and what was done</t>
  </si>
  <si>
    <t>Column</t>
  </si>
  <si>
    <t>Issue found</t>
  </si>
  <si>
    <t>Rows</t>
  </si>
  <si>
    <t>Examples of the original value</t>
  </si>
  <si>
    <t>What was done</t>
  </si>
  <si>
    <t>txn_date</t>
  </si>
  <si>
    <t>Non-standard date format</t>
  </si>
  <si>
    <t>18 May 2024 · 2024.02.02 · 2024.05.22 · 2024.10.08 · 26 Nov 2024</t>
  </si>
  <si>
    <t>Converted to YYYY-MM-DD</t>
  </si>
  <si>
    <t>Channel written with variants</t>
  </si>
  <si>
    <t>Agent Rep · ussd · Mobile app · Ussd · App</t>
  </si>
  <si>
    <t>Unified</t>
  </si>
  <si>
    <t>Region written as alias, abbreviation, different case or with spaces</t>
  </si>
  <si>
    <t>" Sydney " · Melbourne VIC · Brisbane QLD · PER · MEL</t>
  </si>
  <si>
    <t>amount</t>
  </si>
  <si>
    <t>Amount with symbols, commas, spaces or parentheses</t>
  </si>
  <si>
    <t>(2.50) · $25 · " 4.50 " · " 5 " · $5</t>
  </si>
  <si>
    <t>Converted to a number</t>
  </si>
  <si>
    <t>Empty amount</t>
  </si>
  <si>
    <t>""</t>
  </si>
  <si>
    <t>Imputed with the bundle's list price according to status</t>
  </si>
  <si>
    <t>customer_id</t>
  </si>
  <si>
    <t>Customer ID with extra spaces</t>
  </si>
  <si>
    <t>" CUST00366 " · " CUST00847 " · " CUST00340 " · " CUST00463 " · " CUST00155 "</t>
  </si>
  <si>
    <t>Spaces removed</t>
  </si>
  <si>
    <t>Customer ID without CUST prefix</t>
  </si>
  <si>
    <t>00433 · 00616 · 00173 · 00372 · 00099</t>
  </si>
  <si>
    <t>CUST prefix added</t>
  </si>
  <si>
    <t>Empty region</t>
  </si>
  <si>
    <t>Marked as "Unknown"</t>
  </si>
  <si>
    <t>Empty date</t>
  </si>
  <si>
    <t>Left without a date; only excluded from monthly series</t>
  </si>
  <si>
    <t>Impossible or unrecognised date</t>
  </si>
  <si>
    <t>2024-13-40</t>
  </si>
  <si>
    <t>row</t>
  </si>
  <si>
    <t>Duplicate row</t>
  </si>
  <si>
    <t>TXN002040 · TXN002765 · TXN003567 · TXN002814 · TXN003312</t>
  </si>
  <si>
    <t>Row removed</t>
  </si>
  <si>
    <t>Outlier amount (does not match the list price)</t>
  </si>
  <si>
    <t>800 · 1200 · 1500 · 2000</t>
  </si>
  <si>
    <t>Replaced with the list price</t>
  </si>
  <si>
    <t>Outlier amounts corrected</t>
  </si>
  <si>
    <t>Transaction</t>
  </si>
  <si>
    <t>Bundle</t>
  </si>
  <si>
    <t>Status</t>
  </si>
  <si>
    <t>Original amount</t>
  </si>
  <si>
    <t>Corrected amount</t>
  </si>
  <si>
    <t>TXN900000</t>
  </si>
  <si>
    <t>TXN004190</t>
  </si>
  <si>
    <t>TXN004193</t>
  </si>
  <si>
    <t>TXN004188</t>
  </si>
  <si>
    <t>TXN004191</t>
  </si>
  <si>
    <t>TXN004192</t>
  </si>
  <si>
    <t>TXN004189</t>
  </si>
  <si>
    <t>How this workbook is built</t>
  </si>
  <si>
    <t>Power Query</t>
  </si>
  <si>
    <t>Three queries (Data &gt; Queries &amp; Connections): SourceFile (parameter with the path of the clean CSV), Transactions (typed columns + list price per bundle) and Calendar (one row per day).</t>
  </si>
  <si>
    <t>Data Model</t>
  </si>
  <si>
    <t>Both tables are loaded to the Power Pivot data model only, related by Transactions[txn_date] -&gt; Calendar[Date]. Open it with Power Pivot &gt; Manage.</t>
  </si>
  <si>
    <t>Dashboard</t>
  </si>
  <si>
    <t>KPI cards are CUBEVALUE formulas on the model; charts are PivotCharts fed by the Pivots sheet. All of them follow the slicers.</t>
  </si>
  <si>
    <t>Refresh</t>
  </si>
  <si>
    <t>Run the pipeline (run.bat) to rebuild this file, or use Data &gt; Refresh All after the clean CSV changes. If the project folder moves, edit the SourceFile parameter.</t>
  </si>
  <si>
    <t>Snapshot</t>
  </si>
  <si>
    <t>The numbers reflect the clean CSV at the last refresh. Transactions without a date count in the totals but have no month or quarter.</t>
  </si>
  <si>
    <t>DAX measures</t>
  </si>
  <si>
    <t>= CALCULATE(SUM(Transactions[amount]), Transactions[status] = "Successful")</t>
  </si>
  <si>
    <t>Transaction Count</t>
  </si>
  <si>
    <t>= COUNTROWS(Transactions)</t>
  </si>
  <si>
    <t>Successful Txns</t>
  </si>
  <si>
    <t>= CALCULATE(COUNTROWS(Transactions), Transactions[status] = "Successful")</t>
  </si>
  <si>
    <t>Failed Txns</t>
  </si>
  <si>
    <t>= CALCULATE(COUNTROWS(Transactions), Transactions[status] = "Failed")</t>
  </si>
  <si>
    <t>Reversed Txns</t>
  </si>
  <si>
    <t>= CALCULATE(COUNTROWS(Transactions), Transactions[status] = "Reversed")</t>
  </si>
  <si>
    <t>Success Rate</t>
  </si>
  <si>
    <t>= DIVIDE([Successful Txns], [Transaction Count])</t>
  </si>
  <si>
    <t>Failure Rate</t>
  </si>
  <si>
    <t>= DIVIDE([Failed Txns], [Transaction Count])</t>
  </si>
  <si>
    <t>Reversal Rate</t>
  </si>
  <si>
    <t>= DIVIDE([Reversed Txns], [Transaction Count])</t>
  </si>
  <si>
    <t>Average Ticket</t>
  </si>
  <si>
    <t>= DIVIDE([Revenue], [Successful Txns])</t>
  </si>
  <si>
    <t>Active Customers</t>
  </si>
  <si>
    <t>= DISTINCTCOUNT(Transactions[customer_id])</t>
  </si>
  <si>
    <t>Buying Customers</t>
  </si>
  <si>
    <t>= CALCULATE(DISTINCTCOUNT(Transactions[customer_id]), Transactions[status] = "Successful")</t>
  </si>
  <si>
    <t>Revenue per Customer</t>
  </si>
  <si>
    <t>= DIVIDE([Revenue], [Buying Customers])</t>
  </si>
  <si>
    <t>Revenue Lost</t>
  </si>
  <si>
    <t>= CALCULATE(SUM(Transactions[list_price]), Transactions[status] = "Failed")</t>
  </si>
  <si>
    <t>Reversed Amount</t>
  </si>
  <si>
    <t>= -CALCULATE(SUM(Transactions[amount]), Transactions[status] = "Reversed")</t>
  </si>
  <si>
    <t>Revenue Prev Month</t>
  </si>
  <si>
    <t>= CALCULATE([Revenue], DATEADD(Calendar[Date], -1, MONTH))</t>
  </si>
  <si>
    <t>Revenue MoM %</t>
  </si>
  <si>
    <t>= DIVIDE([Revenue] - [Revenue Prev Month], [Revenue Prev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</si>
</sst>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quot;A$&quot;#,##0.00"/>
    <numFmt numFmtId="166" formatCode="0.0%"/>
  </numFmts>
  <fonts count="10" x14ac:knownFonts="1">
    <font>
      <sz val="11"/>
      <color theme="1"/>
      <name val="Aptos Narrow"/>
      <family val="2"/>
      <scheme val="minor"/>
    </font>
    <font>
      <b/>
      <sz val="11"/>
      <color theme="1"/>
      <name val="Aptos Narrow"/>
      <family val="2"/>
      <scheme val="minor"/>
    </font>
    <font>
      <b/>
      <sz val="16"/>
      <color theme="1"/>
      <name val="Aptos Narrow"/>
      <family val="2"/>
      <scheme val="minor"/>
    </font>
    <font>
      <sz val="11"/>
      <color rgb="FF4A5568"/>
      <name val="Aptos Narrow"/>
      <family val="2"/>
      <scheme val="minor"/>
    </font>
    <font>
      <sz val="11"/>
      <color theme="1"/>
      <name val="Arial"/>
      <family val="2"/>
    </font>
    <font>
      <sz val="9"/>
      <color rgb="FF4A5568"/>
      <name val="Arial"/>
      <family val="2"/>
    </font>
    <font>
      <b/>
      <sz val="18"/>
      <color theme="1"/>
      <name val="Arial"/>
      <family val="2"/>
    </font>
    <font>
      <b/>
      <sz val="12"/>
      <color theme="1"/>
      <name val="Aptos Narrow"/>
      <family val="2"/>
      <scheme val="minor"/>
    </font>
    <font>
      <b/>
      <sz val="11"/>
      <color rgb="FFFFFFFF"/>
      <name val="Aptos Narrow"/>
      <family val="2"/>
      <scheme val="minor"/>
    </font>
    <font>
      <b/>
      <sz val="14"/>
      <color theme="1"/>
      <name val="Aptos Narrow"/>
      <family val="2"/>
      <scheme val="minor"/>
    </font>
  </fonts>
  <fills count="6">
    <fill>
      <patternFill patternType="none"/>
    </fill>
    <fill>
      <patternFill patternType="gray125"/>
    </fill>
    <fill>
      <patternFill patternType="solid">
        <fgColor rgb="FF0F1D37"/>
        <bgColor indexed="64"/>
      </patternFill>
    </fill>
    <fill>
      <patternFill patternType="solid">
        <fgColor rgb="FFFFFFFF"/>
        <bgColor indexed="64"/>
      </patternFill>
    </fill>
    <fill>
      <patternFill patternType="solid">
        <fgColor rgb="FFF4F6F8"/>
        <bgColor indexed="64"/>
      </patternFill>
    </fill>
    <fill>
      <patternFill patternType="solid">
        <fgColor rgb="FF162C4C"/>
        <bgColor indexed="64"/>
      </patternFill>
    </fill>
  </fills>
  <borders count="9">
    <border>
      <left/>
      <right/>
      <top/>
      <bottom/>
      <diagonal/>
    </border>
    <border>
      <left style="thin">
        <color rgb="FFE4E8EE"/>
      </left>
      <right/>
      <top/>
      <bottom/>
      <diagonal/>
    </border>
    <border>
      <left style="thin">
        <color rgb="FFE4E8EE"/>
      </left>
      <right/>
      <top/>
      <bottom style="thin">
        <color rgb="FFE4E8EE"/>
      </bottom>
      <diagonal/>
    </border>
    <border>
      <left/>
      <right/>
      <top/>
      <bottom style="thin">
        <color rgb="FFE4E8EE"/>
      </bottom>
      <diagonal/>
    </border>
    <border>
      <left/>
      <right style="thin">
        <color rgb="FFE4E8EE"/>
      </right>
      <top/>
      <bottom/>
      <diagonal/>
    </border>
    <border>
      <left/>
      <right style="thin">
        <color rgb="FFE4E8EE"/>
      </right>
      <top/>
      <bottom style="thin">
        <color rgb="FFE4E8EE"/>
      </bottom>
      <diagonal/>
    </border>
    <border>
      <left style="thin">
        <color rgb="FFE4E8EE"/>
      </left>
      <right/>
      <top style="medium">
        <color rgb="FF0D9488"/>
      </top>
      <bottom/>
      <diagonal/>
    </border>
    <border>
      <left/>
      <right/>
      <top style="medium">
        <color rgb="FF0D9488"/>
      </top>
      <bottom/>
      <diagonal/>
    </border>
    <border>
      <left/>
      <right style="thin">
        <color rgb="FFE4E8EE"/>
      </right>
      <top style="medium">
        <color rgb="FF0D9488"/>
      </top>
      <bottom/>
      <diagonal/>
    </border>
  </borders>
  <cellStyleXfs count="1">
    <xf numFmtId="0" fontId="0" fillId="0" borderId="0"/>
  </cellStyleXfs>
  <cellXfs count="36">
    <xf numFmtId="0" fontId="0" fillId="0" borderId="0" xfId="0"/>
    <xf numFmtId="0" fontId="0" fillId="0" borderId="0" xfId="0" pivotButton="1"/>
    <xf numFmtId="4" fontId="0" fillId="0" borderId="0" xfId="0" applyNumberFormat="1"/>
    <xf numFmtId="164" fontId="0" fillId="0" borderId="0" xfId="0" applyNumberFormat="1"/>
    <xf numFmtId="3" fontId="0" fillId="0" borderId="0" xfId="0" applyNumberFormat="1"/>
    <xf numFmtId="0" fontId="2" fillId="0" borderId="0" xfId="0" applyFont="1"/>
    <xf numFmtId="0" fontId="3" fillId="0" borderId="0" xfId="0" applyFont="1"/>
    <xf numFmtId="0" fontId="1" fillId="0" borderId="0" xfId="0" applyFont="1"/>
    <xf numFmtId="0" fontId="4" fillId="0" borderId="0" xfId="0" applyFont="1"/>
    <xf numFmtId="0" fontId="4" fillId="2" borderId="0" xfId="0" applyFont="1" applyFill="1"/>
    <xf numFmtId="0" fontId="4" fillId="4" borderId="0" xfId="0" applyFont="1" applyFill="1"/>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vertical="top" wrapText="1"/>
    </xf>
    <xf numFmtId="0" fontId="7" fillId="0" borderId="0" xfId="0" applyFont="1" applyAlignment="1">
      <alignment vertical="top" wrapText="1"/>
    </xf>
    <xf numFmtId="0" fontId="8" fillId="5" borderId="0" xfId="0" applyFont="1" applyFill="1" applyAlignment="1">
      <alignment vertical="top" wrapText="1"/>
    </xf>
    <xf numFmtId="0" fontId="0" fillId="0" borderId="0" xfId="0" quotePrefix="1" applyAlignment="1">
      <alignment vertical="top" wrapText="1"/>
    </xf>
    <xf numFmtId="0" fontId="9" fillId="0" borderId="0" xfId="0" applyFont="1" applyAlignment="1">
      <alignment vertical="top" wrapText="1"/>
    </xf>
    <xf numFmtId="0" fontId="1" fillId="0" borderId="0" xfId="0" applyFont="1" applyAlignment="1">
      <alignment vertical="top" wrapText="1"/>
    </xf>
    <xf numFmtId="0" fontId="5" fillId="3" borderId="6" xfId="0" applyFont="1" applyFill="1" applyBorder="1"/>
    <xf numFmtId="0" fontId="5" fillId="3" borderId="7" xfId="0" applyFont="1" applyFill="1" applyBorder="1"/>
    <xf numFmtId="3" fontId="6" fillId="3" borderId="1" xfId="0" applyNumberFormat="1" applyFont="1" applyFill="1" applyBorder="1" applyAlignment="1">
      <alignment horizontal="left"/>
    </xf>
    <xf numFmtId="3" fontId="6" fillId="3" borderId="0" xfId="0" applyNumberFormat="1" applyFont="1" applyFill="1" applyAlignment="1">
      <alignment horizontal="left"/>
    </xf>
    <xf numFmtId="3" fontId="6" fillId="3" borderId="2" xfId="0" applyNumberFormat="1" applyFont="1" applyFill="1" applyBorder="1" applyAlignment="1">
      <alignment horizontal="left"/>
    </xf>
    <xf numFmtId="3" fontId="6" fillId="3" borderId="3" xfId="0" applyNumberFormat="1" applyFont="1" applyFill="1" applyBorder="1" applyAlignment="1">
      <alignment horizontal="left"/>
    </xf>
    <xf numFmtId="165" fontId="6" fillId="3" borderId="1" xfId="0" applyNumberFormat="1" applyFont="1" applyFill="1" applyBorder="1" applyAlignment="1">
      <alignment horizontal="left"/>
    </xf>
    <xf numFmtId="165" fontId="6" fillId="3" borderId="0" xfId="0" applyNumberFormat="1" applyFont="1" applyFill="1" applyAlignment="1">
      <alignment horizontal="left"/>
    </xf>
    <xf numFmtId="165" fontId="6" fillId="3" borderId="2" xfId="0" applyNumberFormat="1" applyFont="1" applyFill="1" applyBorder="1" applyAlignment="1">
      <alignment horizontal="left"/>
    </xf>
    <xf numFmtId="165" fontId="6" fillId="3" borderId="3" xfId="0" applyNumberFormat="1" applyFont="1" applyFill="1" applyBorder="1" applyAlignment="1">
      <alignment horizontal="left"/>
    </xf>
    <xf numFmtId="0" fontId="5" fillId="3" borderId="8" xfId="0" applyFont="1" applyFill="1" applyBorder="1"/>
    <xf numFmtId="165" fontId="6" fillId="3" borderId="4" xfId="0" applyNumberFormat="1" applyFont="1" applyFill="1" applyBorder="1" applyAlignment="1">
      <alignment horizontal="left"/>
    </xf>
    <xf numFmtId="165" fontId="6" fillId="3" borderId="5" xfId="0" applyNumberFormat="1" applyFont="1" applyFill="1" applyBorder="1" applyAlignment="1">
      <alignment horizontal="left"/>
    </xf>
    <xf numFmtId="166" fontId="6" fillId="3" borderId="1" xfId="0" applyNumberFormat="1" applyFont="1" applyFill="1" applyBorder="1" applyAlignment="1">
      <alignment horizontal="left"/>
    </xf>
    <xf numFmtId="166" fontId="6" fillId="3" borderId="0" xfId="0" applyNumberFormat="1" applyFont="1" applyFill="1" applyAlignment="1">
      <alignment horizontal="left"/>
    </xf>
    <xf numFmtId="166" fontId="6" fillId="3" borderId="2" xfId="0" applyNumberFormat="1" applyFont="1" applyFill="1" applyBorder="1" applyAlignment="1">
      <alignment horizontal="left"/>
    </xf>
    <xf numFmtId="166" fontId="6" fillId="3" borderId="3" xfId="0" applyNumberFormat="1" applyFont="1"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D6" s="1"/>
        <tr r="D6" s="1"/>
        <tr r="D6" s="1"/>
        <tr r="D6" s="1"/>
        <tr r="D6" s="1"/>
        <tr r="D6" s="1"/>
        <tr r="G6" s="1"/>
        <tr r="G6" s="1"/>
        <tr r="G6" s="1"/>
        <tr r="G6" s="1"/>
        <tr r="G6" s="1"/>
        <tr r="G6" s="1"/>
        <tr r="J6" s="1"/>
        <tr r="J6" s="1"/>
        <tr r="J6" s="1"/>
        <tr r="J6" s="1"/>
        <tr r="J6" s="1"/>
        <tr r="J6" s="1"/>
        <tr r="M6" s="1"/>
        <tr r="M6" s="1"/>
        <tr r="M6" s="1"/>
        <tr r="M6" s="1"/>
        <tr r="M6" s="1"/>
        <tr r="M6" s="1"/>
        <tr r="P6" s="1"/>
        <tr r="P6" s="1"/>
        <tr r="P6" s="1"/>
        <tr r="P6" s="1"/>
        <tr r="P6" s="1"/>
        <tr r="P6" s="1"/>
        <tr r="S6" s="1"/>
        <tr r="S6" s="1"/>
        <tr r="S6" s="1"/>
        <tr r="S6" s="1"/>
        <tr r="S6" s="1"/>
        <tr r="S6" s="1"/>
      </tp>
    </main>
  </volType>
</volTypes>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3.xml"/><Relationship Id="rId26" Type="http://schemas.openxmlformats.org/officeDocument/2006/relationships/powerPivotData" Target="model/item.data"/><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5" Type="http://schemas.openxmlformats.org/officeDocument/2006/relationships/sheetMetadata" Target="metadata.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29"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pivotCacheDefinition" Target="pivotCache/pivotCacheDefinition5.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[telecom_report.xlsx]Pivots!ptMonth</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Monthly revenue (A$)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0D9488"/>
            </a:solidFill>
            <a:round/>
          </a:ln>
          <a:effectLst/>
        </c:spPr>
        <c:marker>
          <c:symbol val="circle"/>
          <c:size val="5"/>
          <c:spPr>
            <a:solidFill>
              <a:srgbClr val="0D9488"/>
            </a:solidFill>
            <a:ln w="9525">
              <a:solidFill>
                <a:srgbClr val="0D9488"/>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Pivots!$B$3</c:f>
              <c:strCache>
                <c:ptCount val="1"/>
                <c:pt idx="0">
                  <c:v>Total</c:v>
                </c:pt>
              </c:strCache>
            </c:strRef>
          </c:tx>
          <c:spPr>
            <a:ln w="28575" cap="rnd">
              <a:solidFill>
                <a:srgbClr val="0D9488"/>
              </a:solidFill>
              <a:round/>
            </a:ln>
            <a:effectLst/>
          </c:spPr>
          <c:marker>
            <c:symbol val="circle"/>
            <c:size val="5"/>
            <c:spPr>
              <a:solidFill>
                <a:srgbClr val="0D9488"/>
              </a:solidFill>
              <a:ln w="9525">
                <a:solidFill>
                  <a:srgbClr val="0D9488"/>
                </a:solidFill>
              </a:ln>
              <a:effectLst/>
            </c:spPr>
          </c:marker>
          <c:cat>
            <c:strRef>
              <c:f>Pivots!$A$4:$A$16</c:f>
              <c:strCache>
                <c:ptCount val="12"/>
                <c:pt idx="0">
                  <c:v>2024-01</c:v>
                </c:pt>
                <c:pt idx="1">
                  <c:v>2024-02</c:v>
                </c:pt>
                <c:pt idx="2">
                  <c:v>2024-03</c:v>
                </c:pt>
                <c:pt idx="3">
                  <c:v>2024-04</c:v>
                </c:pt>
                <c:pt idx="4">
                  <c:v>2024-05</c:v>
                </c:pt>
                <c:pt idx="5">
                  <c:v>2024-06</c:v>
                </c:pt>
                <c:pt idx="6">
                  <c:v>2024-07</c:v>
                </c:pt>
                <c:pt idx="7">
                  <c:v>2024-08</c:v>
                </c:pt>
                <c:pt idx="8">
                  <c:v>2024-09</c:v>
                </c:pt>
                <c:pt idx="9">
                  <c:v>2024-10</c:v>
                </c:pt>
                <c:pt idx="10">
                  <c:v>2024-11</c:v>
                </c:pt>
                <c:pt idx="11">
                  <c:v>2024-12</c:v>
                </c:pt>
              </c:strCache>
            </c:strRef>
          </c:cat>
          <c:val>
            <c:numRef>
              <c:f>Pivots!$B$4:$B$16</c:f>
              <c:numCache>
                <c:formatCode>#,##0.00</c:formatCode>
                <c:ptCount val="12"/>
                <c:pt idx="0">
                  <c:v>3071.5</c:v>
                </c:pt>
                <c:pt idx="1">
                  <c:v>3098</c:v>
                </c:pt>
                <c:pt idx="2">
                  <c:v>3734.5</c:v>
                </c:pt>
                <c:pt idx="3">
                  <c:v>3269.5</c:v>
                </c:pt>
                <c:pt idx="4">
                  <c:v>3942</c:v>
                </c:pt>
                <c:pt idx="5">
                  <c:v>3293.5</c:v>
                </c:pt>
                <c:pt idx="6">
                  <c:v>3267.5</c:v>
                </c:pt>
                <c:pt idx="7">
                  <c:v>3887.5</c:v>
                </c:pt>
                <c:pt idx="8">
                  <c:v>3025.5</c:v>
                </c:pt>
                <c:pt idx="9">
                  <c:v>3119.5</c:v>
                </c:pt>
                <c:pt idx="10">
                  <c:v>3507.5</c:v>
                </c:pt>
                <c:pt idx="11">
                  <c:v>3802.5</c:v>
                </c:pt>
              </c:numCache>
            </c:numRef>
          </c:val>
          <c:smooth val="0"/>
          <c:extLst>
            <c:ext xmlns:c16="http://schemas.microsoft.com/office/drawing/2014/chart" uri="{C3380CC4-5D6E-409C-BE32-E72D297353CC}">
              <c16:uniqueId val="{00000000-B337-4C26-9B30-04322DA8335F}"/>
            </c:ext>
          </c:extLst>
        </c:ser>
        <c:dLbls>
          <c:showLegendKey val="0"/>
          <c:showVal val="0"/>
          <c:showCatName val="0"/>
          <c:showSerName val="0"/>
          <c:showPercent val="0"/>
          <c:showBubbleSize val="0"/>
        </c:dLbls>
        <c:marker val="1"/>
        <c:smooth val="0"/>
        <c:axId val="1229901488"/>
        <c:axId val="693223696"/>
      </c:lineChart>
      <c:catAx>
        <c:axId val="1229901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23696"/>
        <c:crosses val="autoZero"/>
        <c:auto val="1"/>
        <c:lblAlgn val="ctr"/>
        <c:lblOffset val="100"/>
        <c:noMultiLvlLbl val="0"/>
      </c:catAx>
      <c:valAx>
        <c:axId val="693223696"/>
        <c:scaling>
          <c:orientation val="minMax"/>
        </c:scaling>
        <c:delete val="0"/>
        <c:axPos val="l"/>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901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[telecom_report.xlsx]Pivots!ptRegion</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Revenue by region (A$)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D9488"/>
          </a:solidFill>
          <a:ln>
            <a:solidFill>
              <a:srgbClr val="0D9488"/>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Pivots!$F$3</c:f>
              <c:strCache>
                <c:ptCount val="1"/>
                <c:pt idx="0">
                  <c:v>Total</c:v>
                </c:pt>
              </c:strCache>
            </c:strRef>
          </c:tx>
          <c:spPr>
            <a:solidFill>
              <a:srgbClr val="0D9488"/>
            </a:solidFill>
            <a:ln>
              <a:solidFill>
                <a:srgbClr val="0D9488"/>
              </a:solidFill>
            </a:ln>
            <a:effectLst/>
          </c:spPr>
          <c:invertIfNegative val="0"/>
          <c:cat>
            <c:strRef>
              <c:f>Pivots!$E$4:$E$12</c:f>
              <c:strCache>
                <c:ptCount val="8"/>
                <c:pt idx="0">
                  <c:v>Sydney</c:v>
                </c:pt>
                <c:pt idx="1">
                  <c:v>Melbourne</c:v>
                </c:pt>
                <c:pt idx="2">
                  <c:v>Brisbane</c:v>
                </c:pt>
                <c:pt idx="3">
                  <c:v>Perth</c:v>
                </c:pt>
                <c:pt idx="4">
                  <c:v>Adelaide</c:v>
                </c:pt>
                <c:pt idx="5">
                  <c:v>Canberra</c:v>
                </c:pt>
                <c:pt idx="6">
                  <c:v>Hobart</c:v>
                </c:pt>
                <c:pt idx="7">
                  <c:v>Unknown</c:v>
                </c:pt>
              </c:strCache>
            </c:strRef>
          </c:cat>
          <c:val>
            <c:numRef>
              <c:f>Pivots!$F$4:$F$12</c:f>
              <c:numCache>
                <c:formatCode>#,##0.00</c:formatCode>
                <c:ptCount val="8"/>
                <c:pt idx="0">
                  <c:v>11231.5</c:v>
                </c:pt>
                <c:pt idx="1">
                  <c:v>7371.5</c:v>
                </c:pt>
                <c:pt idx="2">
                  <c:v>6221.5</c:v>
                </c:pt>
                <c:pt idx="3">
                  <c:v>4839</c:v>
                </c:pt>
                <c:pt idx="4">
                  <c:v>4281</c:v>
                </c:pt>
                <c:pt idx="5">
                  <c:v>4128</c:v>
                </c:pt>
                <c:pt idx="6">
                  <c:v>3557.5</c:v>
                </c:pt>
                <c:pt idx="7">
                  <c:v>1093</c:v>
                </c:pt>
              </c:numCache>
            </c:numRef>
          </c:val>
          <c:extLst>
            <c:ext xmlns:c16="http://schemas.microsoft.com/office/drawing/2014/chart" uri="{C3380CC4-5D6E-409C-BE32-E72D297353CC}">
              <c16:uniqueId val="{00000000-0117-4B16-AE96-CB16FEB0A624}"/>
            </c:ext>
          </c:extLst>
        </c:ser>
        <c:dLbls>
          <c:showLegendKey val="0"/>
          <c:showVal val="0"/>
          <c:showCatName val="0"/>
          <c:showSerName val="0"/>
          <c:showPercent val="0"/>
          <c:showBubbleSize val="0"/>
        </c:dLbls>
        <c:gapWidth val="182"/>
        <c:axId val="1229917264"/>
        <c:axId val="693234256"/>
      </c:barChart>
      <c:catAx>
        <c:axId val="122991726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34256"/>
        <c:crosses val="autoZero"/>
        <c:auto val="1"/>
        <c:lblAlgn val="ctr"/>
        <c:lblOffset val="100"/>
        <c:noMultiLvlLbl val="0"/>
      </c:catAx>
      <c:valAx>
        <c:axId val="69323425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917264"/>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[telecom_report.xlsx]Pivots!ptFailure</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Failure rate by region</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03B3B"/>
          </a:solidFill>
          <a:ln>
            <a:solidFill>
              <a:srgbClr val="D03B3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Pivots!$R$3</c:f>
              <c:strCache>
                <c:ptCount val="1"/>
                <c:pt idx="0">
                  <c:v>Total</c:v>
                </c:pt>
              </c:strCache>
            </c:strRef>
          </c:tx>
          <c:spPr>
            <a:solidFill>
              <a:srgbClr val="D03B3B"/>
            </a:solidFill>
            <a:ln>
              <a:solidFill>
                <a:srgbClr val="D03B3B"/>
              </a:solidFill>
            </a:ln>
            <a:effectLst/>
          </c:spPr>
          <c:invertIfNegative val="0"/>
          <c:cat>
            <c:strRef>
              <c:f>Pivots!$Q$4:$Q$12</c:f>
              <c:strCache>
                <c:ptCount val="8"/>
                <c:pt idx="0">
                  <c:v>Sydney</c:v>
                </c:pt>
                <c:pt idx="1">
                  <c:v>Unknown</c:v>
                </c:pt>
                <c:pt idx="2">
                  <c:v>Perth</c:v>
                </c:pt>
                <c:pt idx="3">
                  <c:v>Canberra</c:v>
                </c:pt>
                <c:pt idx="4">
                  <c:v>Melbourne</c:v>
                </c:pt>
                <c:pt idx="5">
                  <c:v>Adelaide</c:v>
                </c:pt>
                <c:pt idx="6">
                  <c:v>Brisbane</c:v>
                </c:pt>
                <c:pt idx="7">
                  <c:v>Hobart</c:v>
                </c:pt>
              </c:strCache>
            </c:strRef>
          </c:cat>
          <c:val>
            <c:numRef>
              <c:f>Pivots!$R$4:$R$12</c:f>
              <c:numCache>
                <c:formatCode>0.0%;\-0.0%;0.0%</c:formatCode>
                <c:ptCount val="8"/>
                <c:pt idx="0">
                  <c:v>0.23620309050772628</c:v>
                </c:pt>
                <c:pt idx="1">
                  <c:v>0.1366906474820144</c:v>
                </c:pt>
                <c:pt idx="2">
                  <c:v>9.1649694501018328E-2</c:v>
                </c:pt>
                <c:pt idx="3">
                  <c:v>7.598784194528875E-2</c:v>
                </c:pt>
                <c:pt idx="4">
                  <c:v>7.1953010279001473E-2</c:v>
                </c:pt>
                <c:pt idx="5">
                  <c:v>6.8337129840546698E-2</c:v>
                </c:pt>
                <c:pt idx="6">
                  <c:v>5.304518664047151E-2</c:v>
                </c:pt>
                <c:pt idx="7">
                  <c:v>2.4475524475524476E-2</c:v>
                </c:pt>
              </c:numCache>
            </c:numRef>
          </c:val>
          <c:extLst>
            <c:ext xmlns:c16="http://schemas.microsoft.com/office/drawing/2014/chart" uri="{C3380CC4-5D6E-409C-BE32-E72D297353CC}">
              <c16:uniqueId val="{00000000-C7EA-405D-A6BC-6D31F9C46644}"/>
            </c:ext>
          </c:extLst>
        </c:ser>
        <c:dLbls>
          <c:showLegendKey val="0"/>
          <c:showVal val="0"/>
          <c:showCatName val="0"/>
          <c:showSerName val="0"/>
          <c:showPercent val="0"/>
          <c:showBubbleSize val="0"/>
        </c:dLbls>
        <c:gapWidth val="182"/>
        <c:axId val="1229799872"/>
        <c:axId val="693237616"/>
      </c:barChart>
      <c:catAx>
        <c:axId val="122979987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37616"/>
        <c:crosses val="autoZero"/>
        <c:auto val="1"/>
        <c:lblAlgn val="ctr"/>
        <c:lblOffset val="100"/>
        <c:noMultiLvlLbl val="0"/>
      </c:catAx>
      <c:valAx>
        <c:axId val="69323761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799872"/>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[telecom_report.xlsx]Pivots!ptProduct</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Revenue by product type (A$)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D9488"/>
          </a:solidFill>
          <a:ln>
            <a:solidFill>
              <a:srgbClr val="0D9488"/>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Pivots!$J$3</c:f>
              <c:strCache>
                <c:ptCount val="1"/>
                <c:pt idx="0">
                  <c:v>Total</c:v>
                </c:pt>
              </c:strCache>
            </c:strRef>
          </c:tx>
          <c:spPr>
            <a:solidFill>
              <a:srgbClr val="0D9488"/>
            </a:solidFill>
            <a:ln>
              <a:solidFill>
                <a:srgbClr val="0D9488"/>
              </a:solidFill>
            </a:ln>
            <a:effectLst/>
          </c:spPr>
          <c:invertIfNegative val="0"/>
          <c:cat>
            <c:strRef>
              <c:f>Pivots!$I$4:$I$8</c:f>
              <c:strCache>
                <c:ptCount val="4"/>
                <c:pt idx="0">
                  <c:v>Data Bundle</c:v>
                </c:pt>
                <c:pt idx="1">
                  <c:v>Recharge</c:v>
                </c:pt>
                <c:pt idx="2">
                  <c:v>Voice Bundle</c:v>
                </c:pt>
                <c:pt idx="3">
                  <c:v>SMS Bundle</c:v>
                </c:pt>
              </c:strCache>
            </c:strRef>
          </c:cat>
          <c:val>
            <c:numRef>
              <c:f>Pivots!$J$4:$J$8</c:f>
              <c:numCache>
                <c:formatCode>#,##0.00</c:formatCode>
                <c:ptCount val="4"/>
                <c:pt idx="0">
                  <c:v>30580.5</c:v>
                </c:pt>
                <c:pt idx="1">
                  <c:v>9383</c:v>
                </c:pt>
                <c:pt idx="2">
                  <c:v>2199.5</c:v>
                </c:pt>
                <c:pt idx="3">
                  <c:v>560</c:v>
                </c:pt>
              </c:numCache>
            </c:numRef>
          </c:val>
          <c:extLst>
            <c:ext xmlns:c16="http://schemas.microsoft.com/office/drawing/2014/chart" uri="{C3380CC4-5D6E-409C-BE32-E72D297353CC}">
              <c16:uniqueId val="{00000000-5FDA-44D1-9549-25FA97F9944C}"/>
            </c:ext>
          </c:extLst>
        </c:ser>
        <c:dLbls>
          <c:showLegendKey val="0"/>
          <c:showVal val="0"/>
          <c:showCatName val="0"/>
          <c:showSerName val="0"/>
          <c:showPercent val="0"/>
          <c:showBubbleSize val="0"/>
        </c:dLbls>
        <c:gapWidth val="182"/>
        <c:axId val="1229810080"/>
        <c:axId val="693240496"/>
      </c:barChart>
      <c:catAx>
        <c:axId val="1229810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40496"/>
        <c:crosses val="autoZero"/>
        <c:auto val="1"/>
        <c:lblAlgn val="ctr"/>
        <c:lblOffset val="100"/>
        <c:noMultiLvlLbl val="0"/>
      </c:catAx>
      <c:valAx>
        <c:axId val="69324049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810080"/>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[telecom_report.xlsx]Pivots!ptStatus</c:name>
    <c:fmtId val="0"/>
  </c:pivotSource>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AU" sz="1100" b="1"/>
              <a:t>Transaction outcome by channel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03B3B"/>
          </a:solidFill>
          <a:ln>
            <a:solidFill>
              <a:srgbClr val="D03B3B"/>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C835A"/>
          </a:solidFill>
          <a:ln>
            <a:solidFill>
              <a:srgbClr val="EC835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CA30C"/>
          </a:solidFill>
          <a:ln>
            <a:solidFill>
              <a:srgbClr val="0CA30C"/>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Pivots!$V$3:$V$4</c:f>
              <c:strCache>
                <c:ptCount val="1"/>
                <c:pt idx="0">
                  <c:v>Failed</c:v>
                </c:pt>
              </c:strCache>
            </c:strRef>
          </c:tx>
          <c:spPr>
            <a:solidFill>
              <a:srgbClr val="D03B3B"/>
            </a:solidFill>
            <a:ln>
              <a:solidFill>
                <a:srgbClr val="D03B3B"/>
              </a:solidFill>
            </a:ln>
            <a:effectLst/>
          </c:spPr>
          <c:invertIfNegative val="0"/>
          <c:cat>
            <c:strRef>
              <c:f>Pivots!$U$5:$U$9</c:f>
              <c:strCache>
                <c:ptCount val="4"/>
                <c:pt idx="0">
                  <c:v>Agent</c:v>
                </c:pt>
                <c:pt idx="1">
                  <c:v>Mobile App</c:v>
                </c:pt>
                <c:pt idx="2">
                  <c:v>USSD</c:v>
                </c:pt>
                <c:pt idx="3">
                  <c:v>Web</c:v>
                </c:pt>
              </c:strCache>
            </c:strRef>
          </c:cat>
          <c:val>
            <c:numRef>
              <c:f>Pivots!$V$5:$V$9</c:f>
              <c:numCache>
                <c:formatCode>#,##0</c:formatCode>
                <c:ptCount val="4"/>
                <c:pt idx="0">
                  <c:v>141</c:v>
                </c:pt>
                <c:pt idx="1">
                  <c:v>131</c:v>
                </c:pt>
                <c:pt idx="2">
                  <c:v>123</c:v>
                </c:pt>
                <c:pt idx="3">
                  <c:v>128</c:v>
                </c:pt>
              </c:numCache>
            </c:numRef>
          </c:val>
          <c:extLst>
            <c:ext xmlns:c16="http://schemas.microsoft.com/office/drawing/2014/chart" uri="{C3380CC4-5D6E-409C-BE32-E72D297353CC}">
              <c16:uniqueId val="{00000000-B9B6-4928-8717-1DDD617AFC68}"/>
            </c:ext>
          </c:extLst>
        </c:ser>
        <c:ser>
          <c:idx val="1"/>
          <c:order val="1"/>
          <c:tx>
            <c:strRef>
              <c:f>Pivots!$W$3:$W$4</c:f>
              <c:strCache>
                <c:ptCount val="1"/>
                <c:pt idx="0">
                  <c:v>Reversed</c:v>
                </c:pt>
              </c:strCache>
            </c:strRef>
          </c:tx>
          <c:spPr>
            <a:solidFill>
              <a:srgbClr val="EC835A"/>
            </a:solidFill>
            <a:ln>
              <a:solidFill>
                <a:srgbClr val="EC835A"/>
              </a:solidFill>
            </a:ln>
            <a:effectLst/>
          </c:spPr>
          <c:invertIfNegative val="0"/>
          <c:cat>
            <c:strRef>
              <c:f>Pivots!$U$5:$U$9</c:f>
              <c:strCache>
                <c:ptCount val="4"/>
                <c:pt idx="0">
                  <c:v>Agent</c:v>
                </c:pt>
                <c:pt idx="1">
                  <c:v>Mobile App</c:v>
                </c:pt>
                <c:pt idx="2">
                  <c:v>USSD</c:v>
                </c:pt>
                <c:pt idx="3">
                  <c:v>Web</c:v>
                </c:pt>
              </c:strCache>
            </c:strRef>
          </c:cat>
          <c:val>
            <c:numRef>
              <c:f>Pivots!$W$5:$W$9</c:f>
              <c:numCache>
                <c:formatCode>#,##0</c:formatCode>
                <c:ptCount val="4"/>
                <c:pt idx="0">
                  <c:v>62</c:v>
                </c:pt>
                <c:pt idx="1">
                  <c:v>85</c:v>
                </c:pt>
                <c:pt idx="2">
                  <c:v>71</c:v>
                </c:pt>
                <c:pt idx="3">
                  <c:v>68</c:v>
                </c:pt>
              </c:numCache>
            </c:numRef>
          </c:val>
          <c:extLst>
            <c:ext xmlns:c16="http://schemas.microsoft.com/office/drawing/2014/chart" uri="{C3380CC4-5D6E-409C-BE32-E72D297353CC}">
              <c16:uniqueId val="{00000001-B9B6-4928-8717-1DDD617AFC68}"/>
            </c:ext>
          </c:extLst>
        </c:ser>
        <c:ser>
          <c:idx val="2"/>
          <c:order val="2"/>
          <c:tx>
            <c:strRef>
              <c:f>Pivots!$X$3:$X$4</c:f>
              <c:strCache>
                <c:ptCount val="1"/>
                <c:pt idx="0">
                  <c:v>Successful</c:v>
                </c:pt>
              </c:strCache>
            </c:strRef>
          </c:tx>
          <c:spPr>
            <a:solidFill>
              <a:srgbClr val="0CA30C"/>
            </a:solidFill>
            <a:ln>
              <a:solidFill>
                <a:srgbClr val="0CA30C"/>
              </a:solidFill>
            </a:ln>
            <a:effectLst/>
          </c:spPr>
          <c:invertIfNegative val="0"/>
          <c:cat>
            <c:strRef>
              <c:f>Pivots!$U$5:$U$9</c:f>
              <c:strCache>
                <c:ptCount val="4"/>
                <c:pt idx="0">
                  <c:v>Agent</c:v>
                </c:pt>
                <c:pt idx="1">
                  <c:v>Mobile App</c:v>
                </c:pt>
                <c:pt idx="2">
                  <c:v>USSD</c:v>
                </c:pt>
                <c:pt idx="3">
                  <c:v>Web</c:v>
                </c:pt>
              </c:strCache>
            </c:strRef>
          </c:cat>
          <c:val>
            <c:numRef>
              <c:f>Pivots!$X$5:$X$9</c:f>
              <c:numCache>
                <c:formatCode>#,##0</c:formatCode>
                <c:ptCount val="4"/>
                <c:pt idx="0">
                  <c:v>872</c:v>
                </c:pt>
                <c:pt idx="1">
                  <c:v>853</c:v>
                </c:pt>
                <c:pt idx="2">
                  <c:v>827</c:v>
                </c:pt>
                <c:pt idx="3">
                  <c:v>872</c:v>
                </c:pt>
              </c:numCache>
            </c:numRef>
          </c:val>
          <c:extLst>
            <c:ext xmlns:c16="http://schemas.microsoft.com/office/drawing/2014/chart" uri="{C3380CC4-5D6E-409C-BE32-E72D297353CC}">
              <c16:uniqueId val="{00000002-B9B6-4928-8717-1DDD617AFC68}"/>
            </c:ext>
          </c:extLst>
        </c:ser>
        <c:dLbls>
          <c:showLegendKey val="0"/>
          <c:showVal val="0"/>
          <c:showCatName val="0"/>
          <c:showSerName val="0"/>
          <c:showPercent val="0"/>
          <c:showBubbleSize val="0"/>
        </c:dLbls>
        <c:gapWidth val="150"/>
        <c:overlap val="100"/>
        <c:axId val="1229827248"/>
        <c:axId val="693242896"/>
      </c:barChart>
      <c:catAx>
        <c:axId val="12298272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242896"/>
        <c:crosses val="autoZero"/>
        <c:auto val="1"/>
        <c:lblAlgn val="ctr"/>
        <c:lblOffset val="100"/>
        <c:noMultiLvlLbl val="0"/>
      </c:catAx>
      <c:valAx>
        <c:axId val="693242896"/>
        <c:scaling>
          <c:orientation val="minMax"/>
        </c:scaling>
        <c:delete val="0"/>
        <c:axPos val="b"/>
        <c:majorGridlines>
          <c:spPr>
            <a:ln w="9525" cap="flat" cmpd="sng" algn="ctr">
              <a:solidFill>
                <a:srgbClr val="E4E8EE"/>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9827248"/>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8EE"/>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76201</xdr:colOff>
      <xdr:row>0</xdr:row>
      <xdr:rowOff>25400</xdr:rowOff>
    </xdr:from>
    <xdr:to>
      <xdr:col>2</xdr:col>
      <xdr:colOff>596400</xdr:colOff>
      <xdr:row>2</xdr:row>
      <xdr:rowOff>222250</xdr:rowOff>
    </xdr:to>
    <xdr:pic>
      <xdr:nvPicPr>
        <xdr:cNvPr id="3" name="Picture 2">
          <a:extLst>
            <a:ext uri="{FF2B5EF4-FFF2-40B4-BE49-F238E27FC236}">
              <a16:creationId xmlns:a16="http://schemas.microsoft.com/office/drawing/2014/main" id="{5C5989FB-10FC-B7C3-C3EB-EEC78142466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6201" y="25400"/>
          <a:ext cx="1815599" cy="673100"/>
        </a:xfrm>
        <a:prstGeom prst="rect">
          <a:avLst/>
        </a:prstGeom>
      </xdr:spPr>
    </xdr:pic>
    <xdr:clientData/>
  </xdr:twoCellAnchor>
  <xdr:twoCellAnchor>
    <xdr:from>
      <xdr:col>3</xdr:col>
      <xdr:colOff>126499</xdr:colOff>
      <xdr:row>0</xdr:row>
      <xdr:rowOff>50800</xdr:rowOff>
    </xdr:from>
    <xdr:to>
      <xdr:col>13</xdr:col>
      <xdr:colOff>253499</xdr:colOff>
      <xdr:row>1</xdr:row>
      <xdr:rowOff>142875</xdr:rowOff>
    </xdr:to>
    <xdr:sp macro="" textlink="">
      <xdr:nvSpPr>
        <xdr:cNvPr id="4" name="TextBox 3">
          <a:extLst>
            <a:ext uri="{FF2B5EF4-FFF2-40B4-BE49-F238E27FC236}">
              <a16:creationId xmlns:a16="http://schemas.microsoft.com/office/drawing/2014/main" id="{2FBAA248-C758-D6C2-B17F-103333F86079}"/>
            </a:ext>
          </a:extLst>
        </xdr:cNvPr>
        <xdr:cNvSpPr txBox="1"/>
      </xdr:nvSpPr>
      <xdr:spPr>
        <a:xfrm>
          <a:off x="2069599" y="50800"/>
          <a:ext cx="6604000" cy="3302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AU" sz="1600" b="1">
              <a:solidFill>
                <a:srgbClr val="FFFFFF"/>
              </a:solidFill>
              <a:latin typeface="Arial" panose="020B0604020202020204" pitchFamily="34" charset="0"/>
            </a:rPr>
            <a:t>Telecom Transactions Report</a:t>
          </a:r>
        </a:p>
      </xdr:txBody>
    </xdr:sp>
    <xdr:clientData/>
  </xdr:twoCellAnchor>
  <xdr:twoCellAnchor>
    <xdr:from>
      <xdr:col>3</xdr:col>
      <xdr:colOff>126499</xdr:colOff>
      <xdr:row>1</xdr:row>
      <xdr:rowOff>142875</xdr:rowOff>
    </xdr:from>
    <xdr:to>
      <xdr:col>16</xdr:col>
      <xdr:colOff>596399</xdr:colOff>
      <xdr:row>2</xdr:row>
      <xdr:rowOff>158750</xdr:rowOff>
    </xdr:to>
    <xdr:sp macro="" textlink="">
      <xdr:nvSpPr>
        <xdr:cNvPr id="5" name="TextBox 4">
          <a:extLst>
            <a:ext uri="{FF2B5EF4-FFF2-40B4-BE49-F238E27FC236}">
              <a16:creationId xmlns:a16="http://schemas.microsoft.com/office/drawing/2014/main" id="{DDD870CE-57EF-564F-7D01-2732F1A08AB4}"/>
            </a:ext>
          </a:extLst>
        </xdr:cNvPr>
        <xdr:cNvSpPr txBox="1"/>
      </xdr:nvSpPr>
      <xdr:spPr>
        <a:xfrm>
          <a:off x="2069599" y="381000"/>
          <a:ext cx="8890000" cy="254000"/>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AU" sz="900" b="0">
              <a:solidFill>
                <a:srgbClr val="A9B6CC"/>
              </a:solidFill>
              <a:latin typeface="Arial" panose="020B0604020202020204" pitchFamily="34" charset="0"/>
            </a:rPr>
            <a:t>Source: telecom_transactions_au_dirty.csv · Period: 2024-01-01 to 2024-12-28 · Currency: Australian dollar (A$) · Power Query + Power Pivot</a:t>
          </a:r>
        </a:p>
      </xdr:txBody>
    </xdr:sp>
    <xdr:clientData/>
  </xdr:twoCellAnchor>
  <xdr:twoCellAnchor editAs="oneCell">
    <xdr:from>
      <xdr:col>0</xdr:col>
      <xdr:colOff>101600</xdr:colOff>
      <xdr:row>3</xdr:row>
      <xdr:rowOff>158750</xdr:rowOff>
    </xdr:from>
    <xdr:to>
      <xdr:col>2</xdr:col>
      <xdr:colOff>486833</xdr:colOff>
      <xdr:row>16</xdr:row>
      <xdr:rowOff>148167</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D35A7DAC-8E28-BC49-E4C6-4364A7E1F59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1600" y="850900"/>
              <a:ext cx="1676400" cy="22606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16</xdr:row>
      <xdr:rowOff>156633</xdr:rowOff>
    </xdr:from>
    <xdr:to>
      <xdr:col>2</xdr:col>
      <xdr:colOff>486833</xdr:colOff>
      <xdr:row>21</xdr:row>
      <xdr:rowOff>171449</xdr:rowOff>
    </xdr:to>
    <mc:AlternateContent xmlns:mc="http://schemas.openxmlformats.org/markup-compatibility/2006" xmlns:a14="http://schemas.microsoft.com/office/drawing/2010/main">
      <mc:Choice Requires="a14">
        <xdr:graphicFrame macro="">
          <xdr:nvGraphicFramePr>
            <xdr:cNvPr id="7" name="Segment">
              <a:extLst>
                <a:ext uri="{FF2B5EF4-FFF2-40B4-BE49-F238E27FC236}">
                  <a16:creationId xmlns:a16="http://schemas.microsoft.com/office/drawing/2014/main" id="{4717C015-5966-2D28-2D5E-9A1AE4508E4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01600" y="3119966"/>
              <a:ext cx="1676400" cy="914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22</xdr:row>
      <xdr:rowOff>67733</xdr:rowOff>
    </xdr:from>
    <xdr:to>
      <xdr:col>2</xdr:col>
      <xdr:colOff>486833</xdr:colOff>
      <xdr:row>30</xdr:row>
      <xdr:rowOff>50799</xdr:rowOff>
    </xdr:to>
    <mc:AlternateContent xmlns:mc="http://schemas.openxmlformats.org/markup-compatibility/2006" xmlns:a14="http://schemas.microsoft.com/office/drawing/2010/main">
      <mc:Choice Requires="a14">
        <xdr:graphicFrame macro="">
          <xdr:nvGraphicFramePr>
            <xdr:cNvPr id="8" name="Product">
              <a:extLst>
                <a:ext uri="{FF2B5EF4-FFF2-40B4-BE49-F238E27FC236}">
                  <a16:creationId xmlns:a16="http://schemas.microsoft.com/office/drawing/2014/main" id="{4368F6DB-DB36-499C-105B-066D0EA6B24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01600" y="4110566"/>
              <a:ext cx="1676400" cy="1422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30</xdr:row>
      <xdr:rowOff>127000</xdr:rowOff>
    </xdr:from>
    <xdr:to>
      <xdr:col>2</xdr:col>
      <xdr:colOff>486833</xdr:colOff>
      <xdr:row>38</xdr:row>
      <xdr:rowOff>110067</xdr:rowOff>
    </xdr:to>
    <mc:AlternateContent xmlns:mc="http://schemas.openxmlformats.org/markup-compatibility/2006" xmlns:a14="http://schemas.microsoft.com/office/drawing/2010/main">
      <mc:Choice Requires="a14">
        <xdr:graphicFrame macro="">
          <xdr:nvGraphicFramePr>
            <xdr:cNvPr id="9" name="Channel">
              <a:extLst>
                <a:ext uri="{FF2B5EF4-FFF2-40B4-BE49-F238E27FC236}">
                  <a16:creationId xmlns:a16="http://schemas.microsoft.com/office/drawing/2014/main" id="{E44D4017-9C8A-C0D9-6F9E-1D370AFCECD3}"/>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101600" y="5609167"/>
              <a:ext cx="1676400" cy="1422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39</xdr:row>
      <xdr:rowOff>6350</xdr:rowOff>
    </xdr:from>
    <xdr:to>
      <xdr:col>2</xdr:col>
      <xdr:colOff>486833</xdr:colOff>
      <xdr:row>46</xdr:row>
      <xdr:rowOff>169334</xdr:rowOff>
    </xdr:to>
    <mc:AlternateContent xmlns:mc="http://schemas.openxmlformats.org/markup-compatibility/2006" xmlns:a14="http://schemas.microsoft.com/office/drawing/2010/main">
      <mc:Choice Requires="a14">
        <xdr:graphicFrame macro="">
          <xdr:nvGraphicFramePr>
            <xdr:cNvPr id="10" name="Quarter">
              <a:extLst>
                <a:ext uri="{FF2B5EF4-FFF2-40B4-BE49-F238E27FC236}">
                  <a16:creationId xmlns:a16="http://schemas.microsoft.com/office/drawing/2014/main" id="{C347EEEB-C2CE-6811-6CDD-BCE4632EA1C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01600" y="7107767"/>
              <a:ext cx="1676400" cy="14224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609600</xdr:colOff>
      <xdr:row>9</xdr:row>
      <xdr:rowOff>41275</xdr:rowOff>
    </xdr:from>
    <xdr:to>
      <xdr:col>16</xdr:col>
      <xdr:colOff>50800</xdr:colOff>
      <xdr:row>23</xdr:row>
      <xdr:rowOff>47625</xdr:rowOff>
    </xdr:to>
    <xdr:graphicFrame macro="">
      <xdr:nvGraphicFramePr>
        <xdr:cNvPr id="11" name="Chart 10">
          <a:extLst>
            <a:ext uri="{FF2B5EF4-FFF2-40B4-BE49-F238E27FC236}">
              <a16:creationId xmlns:a16="http://schemas.microsoft.com/office/drawing/2014/main" id="{547FAD47-CEA4-3FFF-9347-64A5548A54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609600</xdr:colOff>
      <xdr:row>23</xdr:row>
      <xdr:rowOff>149225</xdr:rowOff>
    </xdr:from>
    <xdr:to>
      <xdr:col>9</xdr:col>
      <xdr:colOff>279400</xdr:colOff>
      <xdr:row>37</xdr:row>
      <xdr:rowOff>155575</xdr:rowOff>
    </xdr:to>
    <xdr:graphicFrame macro="">
      <xdr:nvGraphicFramePr>
        <xdr:cNvPr id="12" name="Chart 11">
          <a:extLst>
            <a:ext uri="{FF2B5EF4-FFF2-40B4-BE49-F238E27FC236}">
              <a16:creationId xmlns:a16="http://schemas.microsoft.com/office/drawing/2014/main" id="{0296F053-10A5-DBEE-BF70-5634161F52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381000</xdr:colOff>
      <xdr:row>23</xdr:row>
      <xdr:rowOff>149225</xdr:rowOff>
    </xdr:from>
    <xdr:to>
      <xdr:col>16</xdr:col>
      <xdr:colOff>50800</xdr:colOff>
      <xdr:row>37</xdr:row>
      <xdr:rowOff>155575</xdr:rowOff>
    </xdr:to>
    <xdr:graphicFrame macro="">
      <xdr:nvGraphicFramePr>
        <xdr:cNvPr id="13" name="Chart 12">
          <a:extLst>
            <a:ext uri="{FF2B5EF4-FFF2-40B4-BE49-F238E27FC236}">
              <a16:creationId xmlns:a16="http://schemas.microsoft.com/office/drawing/2014/main" id="{D3762585-304B-CB39-22D4-AC62CFB3E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609600</xdr:colOff>
      <xdr:row>38</xdr:row>
      <xdr:rowOff>76200</xdr:rowOff>
    </xdr:from>
    <xdr:to>
      <xdr:col>9</xdr:col>
      <xdr:colOff>279400</xdr:colOff>
      <xdr:row>52</xdr:row>
      <xdr:rowOff>82550</xdr:rowOff>
    </xdr:to>
    <xdr:graphicFrame macro="">
      <xdr:nvGraphicFramePr>
        <xdr:cNvPr id="14" name="Chart 13">
          <a:extLst>
            <a:ext uri="{FF2B5EF4-FFF2-40B4-BE49-F238E27FC236}">
              <a16:creationId xmlns:a16="http://schemas.microsoft.com/office/drawing/2014/main" id="{43F21189-403D-5750-631D-E23F586258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381000</xdr:colOff>
      <xdr:row>38</xdr:row>
      <xdr:rowOff>76200</xdr:rowOff>
    </xdr:from>
    <xdr:to>
      <xdr:col>16</xdr:col>
      <xdr:colOff>50800</xdr:colOff>
      <xdr:row>52</xdr:row>
      <xdr:rowOff>82550</xdr:rowOff>
    </xdr:to>
    <xdr:graphicFrame macro="">
      <xdr:nvGraphicFramePr>
        <xdr:cNvPr id="15" name="Chart 14">
          <a:extLst>
            <a:ext uri="{FF2B5EF4-FFF2-40B4-BE49-F238E27FC236}">
              <a16:creationId xmlns:a16="http://schemas.microsoft.com/office/drawing/2014/main" id="{BDD592B8-CABC-A452-7BEA-530B0309A9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userconect" refreshedDate="46297.720266203702" createdVersion="3" refreshedVersion="8" minRefreshableVersion="3" recordCount="0" tupleCache="1" supportSubquery="1" supportAdvancedDrill="1" xr:uid="{332B9412-FE82-4BFA-8003-132F3BBBCFFA}">
  <cacheSource type="external" connectionId="3"/>
  <cacheFields count="2">
    <cacheField name="[Measures].[MeasuresLevel]" caption="MeasuresLevel" numFmtId="0" hierarchy="6">
      <sharedItems count="6">
        <s v="[Measures].[Revenue]" c="Revenue"/>
        <s v="[Measures].[Transaction Count]" c="Transaction Count"/>
        <s v="[Measures].[Success Rate]" c="Success Rate"/>
        <s v="[Measures].[Active Customers]" c="Active Customers"/>
        <s v="[Measures].[Average Ticket]" c="Average Ticket"/>
        <s v="[Measures].[Revenue Lost]" c="Revenue Lost"/>
      </sharedItems>
    </cacheField>
    <cacheField name="[Transactions].[region].[region]" caption="region" numFmtId="0" hierarchy="10" level="1">
      <sharedItems count="3">
        <s v="[Transactions].[region].&amp;[Adelaide]" c="Adelaide"/>
        <s v="[Transactions].[region].&amp;[Brisbane]" c="Brisbane"/>
        <s v="[Transactions].[region].&amp;[Hobart]" c="Hobart"/>
      </sharedItems>
    </cacheField>
  </cacheFields>
  <cacheHierarchies count="39">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cacheHierarchy uniqueName="[Calendar].[Quarter]" caption="Quarter" attribute="1" defaultMemberUniqueName="[Calendar].[Quarter].[All]" allUniqueName="[Calendar].[Quarter].[All]" allCaption="All" dimensionUniqueName="[Calendar]" displayFolder="" count="2" memberValueDatatype="130" unbalanced="0"/>
    <cacheHierarchy uniqueName="[Calendar].[MonthNo]" caption="MonthNo" attribute="1" defaultMemberUniqueName="[Calendar].[MonthNo].[All]" allUniqueName="[Calendar].[MonthNo].[All]" dimensionUniqueName="[Calendar]" displayFolder="" count="2" memberValueDatatype="20" unbalanced="0"/>
    <cacheHierarchy uniqueName="[Calendar].[YearMonth]" caption="YearMonth" attribute="1" defaultMemberUniqueName="[Calendar].[YearMonth].[All]" allUniqueName="[Calendar].[YearMonth].[All]" dimensionUniqueName="[Calendar]" displayFolder="" count="2" memberValueDatatype="130" unbalanced="0"/>
    <cacheHierarchy uniqueName="[Calendar].[Weekday]" caption="Weekday" attribute="1" defaultMemberUniqueName="[Calendar].[Weekday].[All]" allUniqueName="[Calendar].[Weekday].[All]" dimensionUniqueName="[Calendar]" displayFolder="" count="2" memberValueDatatype="130" unbalanced="0"/>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Transactions].[transaction_id]" caption="transaction_id" attribute="1" defaultMemberUniqueName="[Transactions].[transaction_id].[All]" allUniqueName="[Transactions].[transaction_id].[All]" dimensionUniqueName="[Transactions]" displayFolder="" count="2" memberValueDatatype="130" unbalanced="0"/>
    <cacheHierarchy uniqueName="[Transactions].[txn_date]" caption="txn_date" attribute="1" time="1" defaultMemberUniqueName="[Transactions].[txn_date].[All]" allUniqueName="[Transactions].[txn_date].[All]" dimensionUniqueName="[Transactions]" displayFolder="" count="2" memberValueDatatype="7" unbalanced="0"/>
    <cacheHierarchy uniqueName="[Transactions].[customer_id]" caption="customer_id" attribute="1" defaultMemberUniqueName="[Transactions].[customer_id].[All]" allUniqueName="[Transactions].[customer_id].[All]" dimensionUniqueName="[Transactions]" displayFolder="" count="2" memberValueDatatype="130" unbalanced="0"/>
    <cacheHierarchy uniqueName="[Transactions].[region]" caption="region" attribute="1" defaultMemberUniqueName="[Transactions].[region].[All]" allUniqueName="[Transactions].[region].[All]" allCaption="All" dimensionUniqueName="[Transactions]" displayFolder="" count="2" memberValueDatatype="130" unbalanced="0">
      <fieldsUsage count="2">
        <fieldUsage x="-1"/>
        <fieldUsage x="1"/>
      </fieldsUsage>
    </cacheHierarchy>
    <cacheHierarchy uniqueName="[Transactions].[customer_segment]" caption="customer_segment" attribute="1" defaultMemberUniqueName="[Transactions].[customer_segment].[All]" allUniqueName="[Transactions].[customer_segment].[All]" allCaption="All" dimensionUniqueName="[Transactions]" displayFolder="" count="2" memberValueDatatype="130" unbalanced="0"/>
    <cacheHierarchy uniqueName="[Transactions].[product_type]" caption="product_type" attribute="1" defaultMemberUniqueName="[Transactions].[product_type].[All]" allUniqueName="[Transactions].[product_type].[All]" allCaption="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2" memberValueDatatype="130" unbalanced="0"/>
    <cacheHierarchy uniqueName="[Transactions].[channel]" caption="channel" attribute="1" defaultMemberUniqueName="[Transactions].[channel].[All]" allUniqueName="[Transactions].[channel].[All]" allCaption="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2" memberValueDatatype="20" unbalanced="0"/>
    <cacheHierarchy uniqueName="[Transactions].[amount]" caption="amount" attribute="1" defaultMemberUniqueName="[Transactions].[amount].[All]" allUniqueName="[Transactions].[amount].[All]" dimensionUniqueName="[Transactions]" displayFolder="" count="2" memberValueDatatype="5" unbalanced="0"/>
    <cacheHierarchy uniqueName="[Transactions].[status]" caption="status" attribute="1" defaultMemberUniqueName="[Transactions].[status].[All]" allUniqueName="[Transactions].[status].[All]" dimensionUniqueName="[Transactions]" displayFolder="" count="2" memberValueDatatype="130" unbalanced="0"/>
    <cacheHierarchy uniqueName="[Transactions].[amount_flag]" caption="amount_flag" attribute="1" defaultMemberUniqueName="[Transactions].[amount_flag].[All]" allUniqueName="[Transactions].[amount_flag].[All]" dimensionUniqueName="[Transactions]" displayFolder="" count="2" memberValueDatatype="130" unbalanced="0"/>
    <cacheHierarchy uniqueName="[Transactions].[list_price]" caption="list_price" attribute="1" defaultMemberUniqueName="[Transactions].[list_price].[All]" allUniqueName="[Transactions].[list_price].[All]" dimensionUniqueName="[Transactions]" displayFolder="" count="2" memberValueDatatype="5" unbalanced="0"/>
    <cacheHierarchy uniqueName="[Measures].[Revenue]" caption="Revenue" measure="1" displayFolder="" measureGroup="Transactions" count="0"/>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tupleCache>
    <entries count="24">
      <n v="42723" in="0">
        <tpls c="6">
          <tpl hier="2" item="4"/>
          <tpl fld="0" item="0"/>
          <tpl hier="10" item="0"/>
          <tpl hier="11" item="1"/>
          <tpl hier="12" item="2"/>
          <tpl hier="14" item="3"/>
        </tpls>
      </n>
      <n v="4233" in="1">
        <tpls c="6">
          <tpl hier="2" item="4"/>
          <tpl fld="0" item="1"/>
          <tpl hier="10" item="0"/>
          <tpl hier="11" item="1"/>
          <tpl hier="12" item="2"/>
          <tpl hier="14" item="3"/>
        </tpls>
      </n>
      <n v="0.80888258918025047" in="2">
        <tpls c="6">
          <tpl hier="2" item="4"/>
          <tpl fld="0" item="2"/>
          <tpl hier="10" item="0"/>
          <tpl hier="11" item="1"/>
          <tpl hier="12" item="2"/>
          <tpl hier="14" item="3"/>
        </tpls>
      </n>
      <n v="889" in="1">
        <tpls c="6">
          <tpl hier="2" item="4"/>
          <tpl fld="0" item="3"/>
          <tpl hier="10" item="0"/>
          <tpl hier="11" item="1"/>
          <tpl hier="12" item="2"/>
          <tpl hier="14" item="3"/>
        </tpls>
      </n>
      <n v="12.477511682242991" in="0">
        <tpls c="6">
          <tpl hier="2" item="4"/>
          <tpl fld="0" item="4"/>
          <tpl hier="10" item="0"/>
          <tpl hier="11" item="1"/>
          <tpl hier="12" item="2"/>
          <tpl hier="14" item="3"/>
        </tpls>
      </n>
      <n v="5919.5" in="0">
        <tpls c="6">
          <tpl hier="2" item="4"/>
          <tpl fld="0" item="5"/>
          <tpl hier="10" item="0"/>
          <tpl hier="11" item="1"/>
          <tpl hier="12" item="2"/>
          <tpl hier="14" item="3"/>
        </tpls>
      </n>
      <n v="256.5" in="0">
        <tpls c="6">
          <tpl hier="2" item="4"/>
          <tpl fld="0" item="5"/>
          <tpl hier="10" item="5"/>
          <tpl hier="11" item="1"/>
          <tpl hier="12" item="2"/>
          <tpl hier="14" item="3"/>
        </tpls>
      </n>
      <n v="11.033505154639176" in="0">
        <tpls c="6">
          <tpl hier="2" item="4"/>
          <tpl fld="0" item="4"/>
          <tpl hier="10" item="5"/>
          <tpl hier="11" item="1"/>
          <tpl hier="12" item="2"/>
          <tpl hier="14" item="3"/>
        </tpls>
      </n>
      <n v="97" in="1">
        <tpls c="6">
          <tpl hier="2" item="4"/>
          <tpl fld="0" item="3"/>
          <tpl hier="10" item="5"/>
          <tpl hier="11" item="1"/>
          <tpl hier="12" item="2"/>
          <tpl hier="14" item="3"/>
        </tpls>
      </n>
      <n v="0.88382687927107062" in="2">
        <tpls c="6">
          <tpl hier="2" item="4"/>
          <tpl fld="0" item="2"/>
          <tpl hier="10" item="5"/>
          <tpl hier="11" item="1"/>
          <tpl hier="12" item="2"/>
          <tpl hier="14" item="3"/>
        </tpls>
      </n>
      <n v="439" in="1">
        <tpls c="6">
          <tpl hier="2" item="4"/>
          <tpl fld="0" item="1"/>
          <tpl hier="10" item="5"/>
          <tpl hier="11" item="1"/>
          <tpl hier="12" item="2"/>
          <tpl hier="14" item="3"/>
        </tpls>
      </n>
      <n v="4281" in="0">
        <tpls c="6">
          <tpl hier="2" item="4"/>
          <tpl fld="0" item="0"/>
          <tpl hier="10" item="5"/>
          <tpl hier="11" item="1"/>
          <tpl hier="12" item="2"/>
          <tpl hier="14" item="3"/>
        </tpls>
      </n>
      <n v="413.5" in="0">
        <tpls c="6">
          <tpl hier="2" item="4"/>
          <tpl fld="0" item="5"/>
          <tpl hier="10" item="6"/>
          <tpl hier="11" item="1"/>
          <tpl hier="12" item="2"/>
          <tpl hier="14" item="3"/>
        </tpls>
      </n>
      <n v="13.209129511677283" in="0">
        <tpls c="6">
          <tpl hier="2" item="4"/>
          <tpl fld="0" item="4"/>
          <tpl hier="10" item="6"/>
          <tpl hier="11" item="1"/>
          <tpl hier="12" item="2"/>
          <tpl hier="14" item="3"/>
        </tpls>
      </n>
      <n v="106" in="1">
        <tpls c="6">
          <tpl hier="2" item="4"/>
          <tpl fld="0" item="3"/>
          <tpl hier="10" item="6"/>
          <tpl hier="11" item="1"/>
          <tpl hier="12" item="2"/>
          <tpl hier="14" item="3"/>
        </tpls>
      </n>
      <n v="0.92534381139489197" in="2">
        <tpls c="6">
          <tpl hier="2" item="4"/>
          <tpl fld="0" item="2"/>
          <tpl hier="10" item="6"/>
          <tpl hier="11" item="1"/>
          <tpl hier="12" item="2"/>
          <tpl hier="14" item="3"/>
        </tpls>
      </n>
      <n v="509" in="1">
        <tpls c="6">
          <tpl hier="2" item="4"/>
          <tpl fld="0" item="1"/>
          <tpl hier="10" item="6"/>
          <tpl hier="11" item="1"/>
          <tpl hier="12" item="2"/>
          <tpl hier="14" item="3"/>
        </tpls>
      </n>
      <n v="6221.5" in="0">
        <tpls c="6">
          <tpl hier="2" item="4"/>
          <tpl fld="0" item="0"/>
          <tpl hier="10" item="6"/>
          <tpl hier="11" item="1"/>
          <tpl hier="12" item="2"/>
          <tpl hier="14" item="3"/>
        </tpls>
      </n>
      <n v="64" in="0">
        <tpls c="6">
          <tpl hier="2" item="4"/>
          <tpl fld="0" item="5"/>
          <tpl hier="10" item="7"/>
          <tpl hier="11" item="1"/>
          <tpl hier="12" item="2"/>
          <tpl hier="14" item="3"/>
        </tpls>
      </n>
      <n v="13.323970037453183" in="0">
        <tpls c="6">
          <tpl hier="2" item="4"/>
          <tpl fld="0" item="4"/>
          <tpl hier="10" item="7"/>
          <tpl hier="11" item="1"/>
          <tpl hier="12" item="2"/>
          <tpl hier="14" item="3"/>
        </tpls>
      </n>
      <n v="65" in="1">
        <tpls c="6">
          <tpl hier="2" item="4"/>
          <tpl fld="0" item="3"/>
          <tpl hier="10" item="7"/>
          <tpl hier="11" item="1"/>
          <tpl hier="12" item="2"/>
          <tpl hier="14" item="3"/>
        </tpls>
      </n>
      <n v="0.93356643356643354" in="2">
        <tpls c="6">
          <tpl hier="2" item="4"/>
          <tpl fld="0" item="2"/>
          <tpl hier="10" item="7"/>
          <tpl hier="11" item="1"/>
          <tpl hier="12" item="2"/>
          <tpl hier="14" item="3"/>
        </tpls>
      </n>
      <n v="286" in="1">
        <tpls c="6">
          <tpl hier="2" item="4"/>
          <tpl fld="0" item="1"/>
          <tpl hier="10" item="7"/>
          <tpl hier="11" item="1"/>
          <tpl hier="12" item="2"/>
          <tpl hier="14" item="3"/>
        </tpls>
      </n>
      <n v="3557.5" in="0">
        <tpls c="6">
          <tpl hier="2" item="4"/>
          <tpl fld="0" item="0"/>
          <tpl hier="10" item="7"/>
          <tpl hier="11" item="1"/>
          <tpl hier="12" item="2"/>
          <tpl hier="14" item="3"/>
        </tpls>
      </n>
    </entries>
    <sets count="8">
      <set count="1" maxRank="1" setDefinition="{[Transactions].[region].[All]}">
        <tpls c="1">
          <tpl hier="10" item="4294967295"/>
        </tpls>
      </set>
      <set count="1" maxRank="1" setDefinition="{[Transactions].[customer_segment].[All]}">
        <tpls c="1">
          <tpl hier="11" item="4294967295"/>
        </tpls>
      </set>
      <set count="1" maxRank="1" setDefinition="{[Transactions].[product_type].[All]}">
        <tpls c="1">
          <tpl hier="12" item="4294967295"/>
        </tpls>
      </set>
      <set count="1" maxRank="1" setDefinition="{[Transactions].[channel].[All]}">
        <tpls c="1">
          <tpl hier="14" item="4294967295"/>
        </tpls>
      </set>
      <set count="1" maxRank="1" setDefinition="{[Calendar].[Quarter].[All]}">
        <tpls c="1">
          <tpl hier="2" item="4294967295"/>
        </tpls>
      </set>
      <set count="1" maxRank="1" setDefinition="{[Transactions].[region].&amp;[Adelaide]}">
        <tpls c="1">
          <tpl fld="1" item="0"/>
        </tpls>
      </set>
      <set count="1" maxRank="1" setDefinition="{[Transactions].[region].&amp;[Brisbane]}">
        <tpls c="1">
          <tpl fld="1" item="1"/>
        </tpls>
      </set>
      <set count="1" maxRank="1" setDefinition="{[Transactions].[region].&amp;[Hobart]}">
        <tpls c="1">
          <tpl fld="1" item="2"/>
        </tpls>
      </set>
    </sets>
    <queryCache count="6">
      <query mdx="[Measures].[Revenue]">
        <tpls c="1">
          <tpl fld="0" item="0"/>
        </tpls>
      </query>
      <query mdx="[Measures].[Transaction Count]">
        <tpls c="1">
          <tpl fld="0" item="1"/>
        </tpls>
      </query>
      <query mdx="[Measures].[Success Rate]">
        <tpls c="1">
          <tpl fld="0" item="2"/>
        </tpls>
      </query>
      <query mdx="[Measures].[Active Customers]">
        <tpls c="1">
          <tpl fld="0" item="3"/>
        </tpls>
      </query>
      <query mdx="[Measures].[Average Ticket]">
        <tpls c="1">
          <tpl fld="0" item="4"/>
        </tpls>
      </query>
      <query mdx="[Measures].[Revenue Lost]">
        <tpls c="1">
          <tpl fld="0" item="5"/>
        </tpls>
      </query>
    </queryCache>
    <serverFormats count="3">
      <serverFormat format="#,0.00"/>
      <serverFormat format="#,0"/>
      <serverFormat format="0.0%;-0.0%;0.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5671298" createdVersion="6" refreshedVersion="8" minRefreshableVersion="3" recordCount="0" supportSubquery="1" supportAdvancedDrill="1" xr:uid="{048A9C5C-8C7B-4E48-BD43-E9457034845E}">
  <cacheSource type="external" connectionId="3"/>
  <cacheFields count="2">
    <cacheField name="[Transactions].[region].[region]" caption="region" numFmtId="0" hierarchy="9" level="1">
      <sharedItems count="8">
        <s v="Adelaide"/>
        <s v="Brisbane"/>
        <s v="Canberra"/>
        <s v="Hobart"/>
        <s v="Melbourne"/>
        <s v="Perth"/>
        <s v="Sydney"/>
        <s v="Unknown"/>
      </sharedItems>
    </cacheField>
    <cacheField name="[Measures].[Revenue]" caption="Revenue" numFmtId="0" hierarchy="19" level="32767"/>
  </cacheFields>
  <cacheHierarchies count="38">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2" memberValueDatatype="20" unbalanced="0"/>
    <cacheHierarchy uniqueName="[Calendar].[YearMonth]" caption="YearMonth" attribute="1" defaultMemberUniqueName="[Calendar].[YearMonth].[All]" allUniqueName="[Calendar].[YearMonth].[All]" dimensionUniqueName="[Calendar]" displayFolder="" count="2" memberValueDatatype="130" unbalanced="0"/>
    <cacheHierarchy uniqueName="[Calendar].[Weekday]" caption="Weekday" attribute="1" defaultMemberUniqueName="[Calendar].[Weekday].[All]" allUniqueName="[Calendar].[Weekday].[All]" dimensionUniqueName="[Calendar]" displayFolder="" count="2" memberValueDatatype="130" unbalanced="0"/>
    <cacheHierarchy uniqueName="[Transactions].[transaction_id]" caption="transaction_id" attribute="1" defaultMemberUniqueName="[Transactions].[transaction_id].[All]" allUniqueName="[Transactions].[transaction_id].[All]" dimensionUniqueName="[Transactions]" displayFolder="" count="2" memberValueDatatype="130" unbalanced="0"/>
    <cacheHierarchy uniqueName="[Transactions].[txn_date]" caption="txn_date" attribute="1" time="1" defaultMemberUniqueName="[Transactions].[txn_date].[All]" allUniqueName="[Transactions].[txn_date].[All]" dimensionUniqueName="[Transactions]" displayFolder="" count="2" memberValueDatatype="7" unbalanced="0"/>
    <cacheHierarchy uniqueName="[Transactions].[customer_id]" caption="customer_id" attribute="1" defaultMemberUniqueName="[Transactions].[customer_id].[All]" allUniqueName="[Transactions].[customer_id].[All]" dimensionUniqueName="[Transactions]" displayFolder="" count="2"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0"/>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2"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6249998" createdVersion="6" refreshedVersion="8" minRefreshableVersion="3" recordCount="0" supportSubquery="1" supportAdvancedDrill="1" xr:uid="{C2CF3132-B88E-4D13-A959-927111FDFC76}">
  <cacheSource type="external" connectionId="3"/>
  <cacheFields count="3">
    <cacheField name="[Calendar].[YearMonth].[YearMonth]" caption="YearMonth" numFmtId="0" hierarchy="4" level="1">
      <sharedItems count="12">
        <s v="2024-01"/>
        <s v="2024-02"/>
        <s v="2024-03"/>
        <s v="2024-04"/>
        <s v="2024-05"/>
        <s v="2024-06"/>
        <s v="2024-07"/>
        <s v="2024-08"/>
        <s v="2024-09"/>
        <s v="2024-10"/>
        <s v="2024-11"/>
        <s v="2024-12"/>
      </sharedItems>
    </cacheField>
    <cacheField name="[Measures].[Revenue]" caption="Revenue" numFmtId="0" hierarchy="19" level="32767"/>
    <cacheField name="[Transactions].[region].[region]" caption="region" numFmtId="0" hierarchy="9"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2" memberValueDatatype="130" unbalanced="0">
      <fieldsUsage count="2">
        <fieldUsage x="-1"/>
        <fieldUsage x="0"/>
      </fieldsUsage>
    </cacheHierarchy>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2"/>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671296" createdVersion="6" refreshedVersion="8" minRefreshableVersion="3" recordCount="0" supportSubquery="1" supportAdvancedDrill="1" xr:uid="{00520305-7A8B-4D41-A720-845551B17A94}">
  <cacheSource type="external" connectionId="3"/>
  <cacheFields count="3">
    <cacheField name="[Transactions].[product_type].[product_type]" caption="product_type" numFmtId="0" hierarchy="11" level="1">
      <sharedItems count="4">
        <s v="Data Bundle"/>
        <s v="Recharge"/>
        <s v="SMS Bundle"/>
        <s v="Voice Bundle"/>
      </sharedItems>
    </cacheField>
    <cacheField name="[Measures].[Revenue]" caption="Revenue" numFmtId="0" hierarchy="19" level="32767"/>
    <cacheField name="[Transactions].[region].[region]" caption="region" numFmtId="0" hierarchy="9"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2"/>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fieldsUsage count="2">
        <fieldUsage x="-1"/>
        <fieldUsage x="0"/>
      </fieldsUsage>
    </cacheHierarchy>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7060184" createdVersion="6" refreshedVersion="8" minRefreshableVersion="3" recordCount="0" supportSubquery="1" supportAdvancedDrill="1" xr:uid="{42D153DF-682F-4B55-83F4-43990731BAD2}">
  <cacheSource type="external" connectionId="3"/>
  <cacheFields count="3">
    <cacheField name="[Transactions].[channel].[channel]" caption="channel" numFmtId="0" hierarchy="13" level="1">
      <sharedItems count="4">
        <s v="Agent"/>
        <s v="Mobile App"/>
        <s v="USSD"/>
        <s v="Web"/>
      </sharedItems>
    </cacheField>
    <cacheField name="[Measures].[Revenue]" caption="Revenue" numFmtId="0" hierarchy="19" level="32767"/>
    <cacheField name="[Transactions].[region].[region]" caption="region" numFmtId="0" hierarchy="9"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2"/>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fieldsUsage count="2">
        <fieldUsage x="-1"/>
        <fieldUsage x="0"/>
      </fieldsUsage>
    </cacheHierarchy>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1"/>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7523145" createdVersion="6" refreshedVersion="8" minRefreshableVersion="3" recordCount="0" supportSubquery="1" supportAdvancedDrill="1" xr:uid="{49723E36-2761-49DB-9A96-6BEF66DEC8F6}">
  <cacheSource type="external" connectionId="3"/>
  <cacheFields count="2">
    <cacheField name="[Transactions].[region].[region]" caption="region" numFmtId="0" hierarchy="9" level="1">
      <sharedItems count="8">
        <s v="Adelaide"/>
        <s v="Brisbane"/>
        <s v="Canberra"/>
        <s v="Hobart"/>
        <s v="Melbourne"/>
        <s v="Perth"/>
        <s v="Sydney"/>
        <s v="Unknown"/>
      </sharedItems>
    </cacheField>
    <cacheField name="[Measures].[Failure Rate]" caption="Failure Rate" numFmtId="0" hierarchy="25" level="32767"/>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0"/>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oneField="1">
      <fieldsUsage count="1">
        <fieldUsage x="1"/>
      </fieldsUsage>
    </cacheHierarchy>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7870369" createdVersion="6" refreshedVersion="8" minRefreshableVersion="3" recordCount="0" supportSubquery="1" supportAdvancedDrill="1" xr:uid="{CE358752-67F9-47B4-947E-AE5A235651A3}">
  <cacheSource type="external" connectionId="3"/>
  <cacheFields count="4">
    <cacheField name="[Transactions].[channel].[channel]" caption="channel" numFmtId="0" hierarchy="13" level="1">
      <sharedItems count="4">
        <s v="Agent"/>
        <s v="Mobile App"/>
        <s v="USSD"/>
        <s v="Web"/>
      </sharedItems>
    </cacheField>
    <cacheField name="[Transactions].[status].[status]" caption="status" numFmtId="0" hierarchy="16" level="1">
      <sharedItems count="3">
        <s v="Failed"/>
        <s v="Reversed"/>
        <s v="Successful"/>
      </sharedItems>
    </cacheField>
    <cacheField name="[Measures].[Transaction Count]" caption="Transaction Count" numFmtId="0" hierarchy="20" level="32767"/>
    <cacheField name="[Transactions].[region].[region]" caption="region" numFmtId="0" hierarchy="9"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3"/>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fieldsUsage count="2">
        <fieldUsage x="-1"/>
        <fieldUsage x="0"/>
      </fieldsUsage>
    </cacheHierarchy>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2" memberValueDatatype="130" unbalanced="0">
      <fieldsUsage count="2">
        <fieldUsage x="-1"/>
        <fieldUsage x="1"/>
      </fieldsUsage>
    </cacheHierarchy>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cacheHierarchy uniqueName="[Measures].[Transaction Count]" caption="Transaction Count" measure="1" displayFolder="" measureGroup="Transactions" count="0" oneField="1">
      <fieldsUsage count="1">
        <fieldUsage x="2"/>
      </fieldsUsage>
    </cacheHierarchy>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8333331" createdVersion="6" refreshedVersion="8" minRefreshableVersion="3" recordCount="0" supportSubquery="1" supportAdvancedDrill="1" xr:uid="{423ACCB0-8E38-4D1B-AB40-AEE1270B6DC1}">
  <cacheSource type="external" connectionId="3"/>
  <cacheFields count="7">
    <cacheField name="[Transactions].[product_type].[product_type]" caption="product_type" numFmtId="0" hierarchy="11" level="1">
      <sharedItems count="4">
        <s v="Data Bundle"/>
        <s v="Recharge"/>
        <s v="SMS Bundle"/>
        <s v="Voice Bundle"/>
      </sharedItems>
    </cacheField>
    <cacheField name="[Transactions].[bundle_name].[bundle_name]" caption="bundle_name" numFmtId="0" hierarchy="12" level="1">
      <sharedItems count="13">
        <s v="Data 10GB Monthly"/>
        <s v="Data 1GB Daily"/>
        <s v="Data 2GB Weekly"/>
        <s v="Data 40GB Monthly"/>
        <s v="Data 6GB Monthly"/>
        <s v="Recharge $1"/>
        <s v="Recharge $10"/>
        <s v="Recharge $2"/>
        <s v="Recharge $20"/>
        <s v="Recharge $5"/>
        <s v="SMS 200"/>
        <s v="Voice 100min"/>
        <s v="Voice 300min"/>
      </sharedItems>
    </cacheField>
    <cacheField name="[Measures].[Successful Txns]" caption="Successful Txns" numFmtId="0" hierarchy="21" level="32767"/>
    <cacheField name="[Measures].[Average Ticket]" caption="Average Ticket" numFmtId="0" hierarchy="27" level="32767"/>
    <cacheField name="[Measures].[Revenue]" caption="Revenue" numFmtId="0" hierarchy="19" level="32767"/>
    <cacheField name="[Measures].[Revenue Lost]" caption="Revenue Lost" numFmtId="0" hierarchy="31" level="32767"/>
    <cacheField name="[Transactions].[region].[region]" caption="region" numFmtId="0" hierarchy="9" level="1">
      <sharedItems containsSemiMixedTypes="0" containsNonDate="0" containsString="0"/>
    </cacheField>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6"/>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fieldsUsage count="2">
        <fieldUsage x="-1"/>
        <fieldUsage x="0"/>
      </fieldsUsage>
    </cacheHierarchy>
    <cacheHierarchy uniqueName="[Transactions].[bundle_name]" caption="bundle_name" attribute="1" defaultMemberUniqueName="[Transactions].[bundle_name].[All]" allUniqueName="[Transactions].[bundle_name].[All]" dimensionUniqueName="[Transactions]" displayFolder="" count="2" memberValueDatatype="130" unbalanced="0">
      <fieldsUsage count="2">
        <fieldUsage x="-1"/>
        <fieldUsage x="1"/>
      </fieldsUsage>
    </cacheHierarchy>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4"/>
      </fieldsUsage>
    </cacheHierarchy>
    <cacheHierarchy uniqueName="[Measures].[Transaction Count]" caption="Transaction Count" measure="1" displayFolder="" measureGroup="Transactions" count="0"/>
    <cacheHierarchy uniqueName="[Measures].[Successful Txns]" caption="Successful Txns" measure="1" displayFolder="" measureGroup="Transactions" count="0" oneField="1">
      <fieldsUsage count="1">
        <fieldUsage x="2"/>
      </fieldsUsage>
    </cacheHierarchy>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oneField="1">
      <fieldsUsage count="1">
        <fieldUsage x="3"/>
      </fieldsUsage>
    </cacheHierarchy>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oneField="1">
      <fieldsUsage count="1">
        <fieldUsage x="5"/>
      </fieldsUsage>
    </cacheHierarchy>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1858564815" createdVersion="6" refreshedVersion="8" minRefreshableVersion="3" recordCount="0" supportSubquery="1" supportAdvancedDrill="1" xr:uid="{51EDA788-8E9C-4EF6-AC55-A83BDE3BB231}">
  <cacheSource type="external" connectionId="3"/>
  <cacheFields count="7">
    <cacheField name="[Transactions].[region].[region]" caption="region" numFmtId="0" hierarchy="9" level="1">
      <sharedItems count="8">
        <s v="Adelaide"/>
        <s v="Brisbane"/>
        <s v="Canberra"/>
        <s v="Hobart"/>
        <s v="Melbourne"/>
        <s v="Perth"/>
        <s v="Sydney"/>
        <s v="Unknown"/>
      </sharedItems>
    </cacheField>
    <cacheField name="[Measures].[Transaction Count]" caption="Transaction Count" numFmtId="0" hierarchy="20" level="32767"/>
    <cacheField name="[Measures].[Failed Txns]" caption="Failed Txns" numFmtId="0" hierarchy="22" level="32767"/>
    <cacheField name="[Measures].[Failure Rate]" caption="Failure Rate" numFmtId="0" hierarchy="25" level="32767"/>
    <cacheField name="[Measures].[Reversal Rate]" caption="Reversal Rate" numFmtId="0" hierarchy="26" level="32767"/>
    <cacheField name="[Measures].[Revenue Lost]" caption="Revenue Lost" numFmtId="0" hierarchy="31" level="32767"/>
    <cacheField name="[Measures].[Revenue]" caption="Revenue" numFmtId="0" hierarchy="19" level="32767"/>
  </cacheFields>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fieldsUsage count="2">
        <fieldUsage x="-1"/>
        <fieldUsage x="0"/>
      </fieldsUsage>
    </cacheHierarchy>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oneField="1">
      <fieldsUsage count="1">
        <fieldUsage x="6"/>
      </fieldsUsage>
    </cacheHierarchy>
    <cacheHierarchy uniqueName="[Measures].[Transaction Count]" caption="Transaction Count" measure="1" displayFolder="" measureGroup="Transactions" count="0" oneField="1">
      <fieldsUsage count="1">
        <fieldUsage x="1"/>
      </fieldsUsage>
    </cacheHierarchy>
    <cacheHierarchy uniqueName="[Measures].[Successful Txns]" caption="Successful Txns" measure="1" displayFolder="" measureGroup="Transactions" count="0"/>
    <cacheHierarchy uniqueName="[Measures].[Failed Txns]" caption="Failed Txns" measure="1" displayFolder="" measureGroup="Transactions" count="0" oneField="1">
      <fieldsUsage count="1">
        <fieldUsage x="2"/>
      </fieldsUsage>
    </cacheHierarchy>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oneField="1">
      <fieldsUsage count="1">
        <fieldUsage x="3"/>
      </fieldsUsage>
    </cacheHierarchy>
    <cacheHierarchy uniqueName="[Measures].[Reversal Rate]" caption="Reversal Rate" measure="1" displayFolder="" measureGroup="Transactions" count="0" oneField="1">
      <fieldsUsage count="1">
        <fieldUsage x="4"/>
      </fieldsUsage>
    </cacheHierarchy>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oneField="1">
      <fieldsUsage count="1">
        <fieldUsage x="5"/>
      </fieldsUsage>
    </cacheHierarchy>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Calendar" uniqueName="[Calendar]" caption="Calendar"/>
    <dimension measure="1" name="Measures" uniqueName="[Measures]" caption="Measures"/>
    <dimension name="Transactions" uniqueName="[Transactions]" caption="Transactions"/>
  </dimensions>
  <measureGroups count="2">
    <measureGroup name="Calendar" caption="Calendar"/>
    <measureGroup name="Transactions" caption="Transaction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conect" refreshedDate="46297.720118287034" createdVersion="3" refreshedVersion="8" minRefreshableVersion="3" recordCount="0" supportSubquery="1" supportAdvancedDrill="1" xr:uid="{46B0385E-959F-4F80-A2BA-15BAD90194B9}">
  <cacheSource type="external" connectionId="3">
    <extLst>
      <ext xmlns:x14="http://schemas.microsoft.com/office/spreadsheetml/2009/9/main" uri="{F057638F-6D5F-4e77-A914-E7F072B9BCA8}">
        <x14:sourceConnection name="ThisWorkbookDataModel"/>
      </ext>
    </extLst>
  </cacheSource>
  <cacheFields count="0"/>
  <cacheHierarchies count="38">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Quarter]" caption="Quarter" attribute="1" defaultMemberUniqueName="[Calendar].[Quarter].[All]" allUniqueName="[Calendar].[Quarter].[All]" dimensionUniqueName="[Calendar]" displayFolder="" count="2" memberValueDatatype="130" unbalanced="0"/>
    <cacheHierarchy uniqueName="[Calendar].[MonthNo]" caption="MonthNo" attribute="1" defaultMemberUniqueName="[Calendar].[MonthNo].[All]" allUniqueName="[Calendar].[MonthNo].[All]" dimensionUniqueName="[Calendar]" displayFolder="" count="0" memberValueDatatype="20" unbalanced="0"/>
    <cacheHierarchy uniqueName="[Calendar].[YearMonth]" caption="YearMonth" attribute="1" defaultMemberUniqueName="[Calendar].[YearMonth].[All]" allUniqueName="[Calendar].[YearMonth].[All]" dimensionUniqueName="[Calendar]" displayFolder="" count="0" memberValueDatatype="130" unbalanced="0"/>
    <cacheHierarchy uniqueName="[Calendar].[Weekday]" caption="Weekday" attribute="1" defaultMemberUniqueName="[Calendar].[Weekday].[All]" allUniqueName="[Calendar].[Weekday].[All]" dimensionUniqueName="[Calendar]" displayFolder="" count="0" memberValueDatatype="130" unbalanced="0"/>
    <cacheHierarchy uniqueName="[Transactions].[transaction_id]" caption="transaction_id" attribute="1" defaultMemberUniqueName="[Transactions].[transaction_id].[All]" allUniqueName="[Transactions].[transaction_id].[All]" dimensionUniqueName="[Transactions]" displayFolder="" count="0" memberValueDatatype="130" unbalanced="0"/>
    <cacheHierarchy uniqueName="[Transactions].[txn_date]" caption="txn_date" attribute="1" time="1" defaultMemberUniqueName="[Transactions].[txn_date].[All]" allUniqueName="[Transactions].[txn_date].[All]" dimensionUniqueName="[Transactions]" displayFolder="" count="0" memberValueDatatype="7" unbalanced="0"/>
    <cacheHierarchy uniqueName="[Transactions].[customer_id]" caption="customer_id" attribute="1" defaultMemberUniqueName="[Transactions].[customer_id].[All]" allUniqueName="[Transactions].[customer_id].[All]" dimensionUniqueName="[Transactions]" displayFolder="" count="0" memberValueDatatype="130" unbalanced="0"/>
    <cacheHierarchy uniqueName="[Transactions].[region]" caption="region" attribute="1" defaultMemberUniqueName="[Transactions].[region].[All]" allUniqueName="[Transactions].[region].[All]" dimensionUniqueName="[Transactions]" displayFolder="" count="2" memberValueDatatype="130" unbalanced="0"/>
    <cacheHierarchy uniqueName="[Transactions].[customer_segment]" caption="customer_segment" attribute="1" defaultMemberUniqueName="[Transactions].[customer_segment].[All]" allUniqueName="[Transactions].[customer_segment].[All]" dimensionUniqueName="[Transactions]" displayFolder="" count="2" memberValueDatatype="130" unbalanced="0"/>
    <cacheHierarchy uniqueName="[Transactions].[product_type]" caption="product_type" attribute="1" defaultMemberUniqueName="[Transactions].[product_type].[All]" allUniqueName="[Transactions].[product_type].[All]" dimensionUniqueName="[Transactions]" displayFolder="" count="2" memberValueDatatype="130" unbalanced="0"/>
    <cacheHierarchy uniqueName="[Transactions].[bundle_name]" caption="bundle_name" attribute="1" defaultMemberUniqueName="[Transactions].[bundle_name].[All]" allUniqueName="[Transactions].[bundle_name].[All]" dimensionUniqueName="[Transactions]" displayFolder="" count="0" memberValueDatatype="130" unbalanced="0"/>
    <cacheHierarchy uniqueName="[Transactions].[channel]" caption="channel" attribute="1" defaultMemberUniqueName="[Transactions].[channel].[All]" allUniqueName="[Transactions].[channel].[All]" dimensionUniqueName="[Transactions]" displayFolder="" count="2" memberValueDatatype="130" unbalanced="0"/>
    <cacheHierarchy uniqueName="[Transactions].[data_volume_mb]" caption="data_volume_mb" attribute="1" defaultMemberUniqueName="[Transactions].[data_volume_mb].[All]" allUniqueName="[Transactions].[data_volume_mb].[All]" dimensionUniqueName="[Transactions]" displayFolder="" count="0" memberValueDatatype="20" unbalanced="0"/>
    <cacheHierarchy uniqueName="[Transactions].[amount]" caption="amount" attribute="1" defaultMemberUniqueName="[Transactions].[amount].[All]" allUniqueName="[Transactions].[amount].[All]" dimensionUniqueName="[Transactions]" displayFolder="" count="0" memberValueDatatype="5" unbalanced="0"/>
    <cacheHierarchy uniqueName="[Transactions].[status]" caption="status" attribute="1" defaultMemberUniqueName="[Transactions].[status].[All]" allUniqueName="[Transactions].[status].[All]" dimensionUniqueName="[Transactions]" displayFolder="" count="0" memberValueDatatype="130" unbalanced="0"/>
    <cacheHierarchy uniqueName="[Transactions].[amount_flag]" caption="amount_flag" attribute="1" defaultMemberUniqueName="[Transactions].[amount_flag].[All]" allUniqueName="[Transactions].[amount_flag].[All]" dimensionUniqueName="[Transactions]" displayFolder="" count="0" memberValueDatatype="130" unbalanced="0"/>
    <cacheHierarchy uniqueName="[Transactions].[list_price]" caption="list_price" attribute="1" defaultMemberUniqueName="[Transactions].[list_price].[All]" allUniqueName="[Transactions].[list_price].[All]" dimensionUniqueName="[Transactions]" displayFolder="" count="0" memberValueDatatype="5" unbalanced="0"/>
    <cacheHierarchy uniqueName="[Measures].[Revenue]" caption="Revenue" measure="1" displayFolder="" measureGroup="Transactions" count="0"/>
    <cacheHierarchy uniqueName="[Measures].[Transaction Count]" caption="Transaction Count" measure="1" displayFolder="" measureGroup="Transactions" count="0"/>
    <cacheHierarchy uniqueName="[Measures].[Successful Txns]" caption="Successful Txns" measure="1" displayFolder="" measureGroup="Transactions" count="0"/>
    <cacheHierarchy uniqueName="[Measures].[Failed Txns]" caption="Failed Txns" measure="1" displayFolder="" measureGroup="Transactions" count="0"/>
    <cacheHierarchy uniqueName="[Measures].[Reversed Txns]" caption="Reversed Txns" measure="1" displayFolder="" measureGroup="Transactions" count="0"/>
    <cacheHierarchy uniqueName="[Measures].[Success Rate]" caption="Success Rate" measure="1" displayFolder="" measureGroup="Transactions" count="0"/>
    <cacheHierarchy uniqueName="[Measures].[Failure Rate]" caption="Failure Rate" measure="1" displayFolder="" measureGroup="Transactions" count="0"/>
    <cacheHierarchy uniqueName="[Measures].[Reversal Rate]" caption="Reversal Rate" measure="1" displayFolder="" measureGroup="Transactions" count="0"/>
    <cacheHierarchy uniqueName="[Measures].[Average Ticket]" caption="Average Ticket" measure="1" displayFolder="" measureGroup="Transactions" count="0"/>
    <cacheHierarchy uniqueName="[Measures].[Active Customers]" caption="Active Customers" measure="1" displayFolder="" measureGroup="Transactions" count="0"/>
    <cacheHierarchy uniqueName="[Measures].[Buying Customers]" caption="Buying Customers" measure="1" displayFolder="" measureGroup="Transactions" count="0"/>
    <cacheHierarchy uniqueName="[Measures].[Revenue per Customer]" caption="Revenue per Customer" measure="1" displayFolder="" measureGroup="Transactions" count="0"/>
    <cacheHierarchy uniqueName="[Measures].[Revenue Lost]" caption="Revenue Lost" measure="1" displayFolder="" measureGroup="Transactions" count="0"/>
    <cacheHierarchy uniqueName="[Measures].[Reversed Amount]" caption="Reversed Amount" measure="1" displayFolder="" measureGroup="Transactions" count="0"/>
    <cacheHierarchy uniqueName="[Measures].[Revenue Prev Month]" caption="Revenue Prev Month" measure="1" displayFolder="" measureGroup="Transactions" count="0"/>
    <cacheHierarchy uniqueName="[Measures].[Revenue MoM %]" caption="Revenue MoM %" measure="1" displayFolder="" measureGroup="Transactions" count="0"/>
    <cacheHierarchy uniqueName="[Measures].[__XL_Count Transactions]" caption="__XL_Count Transactions" measure="1" displayFolder="" measureGroup="Transaction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926799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FEB3CE-48FE-43A9-B2EC-093110F1D33A}" name="ptRegions" cacheId="105"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H5:N14" firstHeaderRow="0" firstDataRow="1" firstDataCol="1"/>
  <pivotFields count="7">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5"/>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1">
    <field x="0"/>
  </rowFields>
  <rowItems count="9">
    <i>
      <x v="6"/>
    </i>
    <i>
      <x v="4"/>
    </i>
    <i>
      <x v="1"/>
    </i>
    <i>
      <x v="5"/>
    </i>
    <i>
      <x/>
    </i>
    <i>
      <x v="2"/>
    </i>
    <i>
      <x v="3"/>
    </i>
    <i>
      <x v="7"/>
    </i>
    <i t="grand">
      <x/>
    </i>
  </rowItems>
  <colFields count="1">
    <field x="-2"/>
  </colFields>
  <colItems count="6">
    <i>
      <x/>
    </i>
    <i i="1">
      <x v="1"/>
    </i>
    <i i="2">
      <x v="2"/>
    </i>
    <i i="3">
      <x v="3"/>
    </i>
    <i i="4">
      <x v="4"/>
    </i>
    <i i="5">
      <x v="5"/>
    </i>
  </colItems>
  <dataFields count="6">
    <dataField name="Transaction Count " fld="1" subtotal="count" baseField="0" baseItem="0"/>
    <dataField name="Failed Txns " fld="2" subtotal="count" baseField="0" baseItem="0"/>
    <dataField name="Failure Rate " fld="3" subtotal="count" baseField="0" baseItem="0"/>
    <dataField name="Reversal Rate " fld="4" subtotal="count" baseField="0" baseItem="0"/>
    <dataField name="Revenue Lost " fld="5" subtotal="count" baseField="0" baseItem="0"/>
    <dataField name="Revenue " fld="6" subtotal="count" baseField="0" baseItem="0"/>
  </dataField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99DD13-AEA4-44B1-AA72-3C157ECB39A5}" name="ptBundles" cacheId="102"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A5:F19" firstHeaderRow="0" firstDataRow="1" firstDataCol="2"/>
  <pivotFields count="7">
    <pivotField axis="axisRow" compact="0" allDrilled="1" outline="0" subtotalTop="0" showAll="0" dataSourceSort="1" defaultSubtotal="0" defaultAttributeDrillState="1">
      <items count="4">
        <item x="0"/>
        <item x="1"/>
        <item x="2"/>
        <item x="3"/>
      </items>
    </pivotField>
    <pivotField axis="axisRow" compact="0" allDrilled="1" outline="0" subtotalTop="0" showAll="0" dataSourceSort="1" defaultSubtotal="0" defaultAttributeDrillState="1">
      <items count="13">
        <item x="0"/>
        <item x="1"/>
        <item x="2"/>
        <item x="3"/>
        <item x="4"/>
        <item x="5"/>
        <item x="6"/>
        <item x="7"/>
        <item x="8"/>
        <item x="9"/>
        <item x="10"/>
        <item x="11"/>
        <item x="12"/>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2">
    <field x="0"/>
    <field x="1"/>
  </rowFields>
  <rowItems count="14">
    <i>
      <x/>
      <x/>
    </i>
    <i r="1">
      <x v="1"/>
    </i>
    <i r="1">
      <x v="2"/>
    </i>
    <i r="1">
      <x v="3"/>
    </i>
    <i r="1">
      <x v="4"/>
    </i>
    <i>
      <x v="1"/>
      <x v="5"/>
    </i>
    <i r="1">
      <x v="6"/>
    </i>
    <i r="1">
      <x v="7"/>
    </i>
    <i r="1">
      <x v="8"/>
    </i>
    <i r="1">
      <x v="9"/>
    </i>
    <i>
      <x v="2"/>
      <x v="10"/>
    </i>
    <i>
      <x v="3"/>
      <x v="11"/>
    </i>
    <i r="1">
      <x v="12"/>
    </i>
    <i t="grand">
      <x/>
    </i>
  </rowItems>
  <colFields count="1">
    <field x="-2"/>
  </colFields>
  <colItems count="4">
    <i>
      <x/>
    </i>
    <i i="1">
      <x v="1"/>
    </i>
    <i i="2">
      <x v="2"/>
    </i>
    <i i="3">
      <x v="3"/>
    </i>
  </colItems>
  <dataFields count="4">
    <dataField name="Successful Txns " fld="2" subtotal="count" baseField="0" baseItem="0"/>
    <dataField name="Average Ticket " fld="3" subtotal="count" baseField="0" baseItem="0"/>
    <dataField name="Revenue " fld="4" subtotal="count" baseField="0" baseItem="0"/>
    <dataField name="Revenue Lost " fld="5" subtotal="count" baseField="0" baseItem="0"/>
  </dataField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2">
    <rowHierarchyUsage hierarchyUsage="1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2004A9-F0A8-4EDE-9E8B-041BA2C249DE}" name="ptProduct" cacheId="90"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I3:J8" firstHeaderRow="1" firstDataRow="1" firstDataCol="1"/>
  <pivotFields count="3">
    <pivotField axis="axisRow" compact="0" allDrilled="1" outline="0" subtotalTop="0" showAll="0" sortType="de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1"/>
    </i>
    <i>
      <x v="3"/>
    </i>
    <i>
      <x v="2"/>
    </i>
    <i t="grand">
      <x/>
    </i>
  </rowItems>
  <colItems count="1">
    <i/>
  </colItems>
  <dataFields count="1">
    <dataField name="Revenu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12F9654-2B46-4612-885C-B24FA56AD62F}" name="ptRegion" cacheId="84"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E3:F12" firstHeaderRow="1" firstDataRow="1" firstDataCol="1"/>
  <pivotFields count="2">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s>
  <rowFields count="1">
    <field x="0"/>
  </rowFields>
  <rowItems count="9">
    <i>
      <x v="6"/>
    </i>
    <i>
      <x v="4"/>
    </i>
    <i>
      <x v="1"/>
    </i>
    <i>
      <x v="5"/>
    </i>
    <i>
      <x/>
    </i>
    <i>
      <x v="2"/>
    </i>
    <i>
      <x v="3"/>
    </i>
    <i>
      <x v="7"/>
    </i>
    <i t="grand">
      <x/>
    </i>
  </rowItems>
  <colItems count="1">
    <i/>
  </colItems>
  <dataFields count="1">
    <dataField name="Revenu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87F631C-5711-448B-BD3A-7E092271820D}" name="ptMonth" cacheId="87"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A3:B16" firstHeaderRow="1" firstDataRow="1" firstDataCol="1"/>
  <pivotFields count="3">
    <pivotField axis="axisRow" compact="0" allDrilled="1" outline="0" subtotalTop="0" showAll="0" dataSourceSort="1" defaultSubtotal="0" defaultAttributeDrillState="1">
      <items count="12">
        <item s="1" x="0"/>
        <item s="1" x="1"/>
        <item s="1" x="2"/>
        <item s="1" x="3"/>
        <item s="1" x="4"/>
        <item s="1" x="5"/>
        <item s="1" x="6"/>
        <item s="1" x="7"/>
        <item s="1" x="8"/>
        <item s="1" x="9"/>
        <item s="1" x="10"/>
        <item s="1" x="1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Revenu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4DF028-BE2F-40C8-BB9B-04FB508D2FC8}" name="ptStatus" cacheId="99"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U3:Y9" firstHeaderRow="1" firstDataRow="2" firstDataCol="1"/>
  <pivotFields count="4">
    <pivotField axis="axisRow" compact="0" allDrilled="1" outline="0" subtotalTop="0" showAll="0" dataSourceSort="1" defaultSubtotal="0" defaultAttributeDrillState="1">
      <items count="4">
        <item x="0"/>
        <item x="1"/>
        <item x="2"/>
        <item x="3"/>
      </items>
    </pivotField>
    <pivotField axis="axisCol" compact="0" allDrilled="1" outline="0" subtotalTop="0" showAll="0" dataSourceSort="1" defaultSubtotal="0" defaultAttributeDrillState="1">
      <items count="3">
        <item x="0"/>
        <item x="1"/>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1"/>
    </i>
    <i>
      <x v="2"/>
    </i>
    <i>
      <x v="3"/>
    </i>
    <i t="grand">
      <x/>
    </i>
  </rowItems>
  <colFields count="1">
    <field x="1"/>
  </colFields>
  <colItems count="4">
    <i>
      <x/>
    </i>
    <i>
      <x v="1"/>
    </i>
    <i>
      <x v="2"/>
    </i>
    <i t="grand">
      <x/>
    </i>
  </colItems>
  <dataFields count="1">
    <dataField name="Transaction Count " fld="2" subtotal="count" baseField="0" baseItem="0"/>
  </dataFields>
  <chartFormats count="3">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3"/>
  </rowHierarchiesUsage>
  <colHierarchiesUsage count="1">
    <colHierarchyUsage hierarchyUsage="1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1A2F2F-DA4A-4852-B925-D45BE29588AE}" name="ptFailure" cacheId="96"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chartFormat="1">
  <location ref="Q3:R12" firstHeaderRow="1" firstDataRow="1" firstDataCol="1"/>
  <pivotFields count="2">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s>
  <rowFields count="1">
    <field x="0"/>
  </rowFields>
  <rowItems count="9">
    <i>
      <x v="6"/>
    </i>
    <i>
      <x v="7"/>
    </i>
    <i>
      <x v="5"/>
    </i>
    <i>
      <x v="2"/>
    </i>
    <i>
      <x v="4"/>
    </i>
    <i>
      <x/>
    </i>
    <i>
      <x v="1"/>
    </i>
    <i>
      <x v="3"/>
    </i>
    <i t="grand">
      <x/>
    </i>
  </rowItems>
  <colItems count="1">
    <i/>
  </colItems>
  <dataFields count="1">
    <dataField name="Failure Rate "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C6241DC-5D61-49F6-913A-7490C00D011C}" name="ptChannel" cacheId="93" applyNumberFormats="0" applyBorderFormats="0" applyFontFormats="0" applyPatternFormats="0" applyAlignmentFormats="0" applyWidthHeightFormats="1" dataCaption="Values" updatedVersion="8" minRefreshableVersion="3" useAutoFormatting="1" itemPrintTitles="1" createdVersion="6" indent="0" compact="0" compactData="0" multipleFieldFilters="0">
  <location ref="M3:N8" firstHeaderRow="1" firstDataRow="1" firstDataCol="1"/>
  <pivotFields count="3">
    <pivotField axis="axisRow" compact="0" allDrilled="1" outline="0" subtotalTop="0" showAll="0" sortType="de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5">
    <i>
      <x/>
    </i>
    <i>
      <x v="3"/>
    </i>
    <i>
      <x v="1"/>
    </i>
    <i>
      <x v="2"/>
    </i>
    <i t="grand">
      <x/>
    </i>
  </rowItems>
  <colItems count="1">
    <i/>
  </colItems>
  <dataFields count="1">
    <dataField name="Revenue " fld="1" subtotal="count" baseField="0" baseItem="0"/>
  </dataFields>
  <pivotHierarchies count="38">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5569EAE-2BFA-4840-877E-077EB77AB988}" sourceName="[Transactions].[region]">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region].[(All)]" sourceCaption="(All)" count="0"/>
        <level uniqueName="[Transactions].[region].[region]" sourceCaption="region" count="8">
          <ranges>
            <range startItem="0">
              <i n="[Transactions].[region].&amp;[Adelaide]" c="Adelaide"/>
              <i n="[Transactions].[region].&amp;[Brisbane]" c="Brisbane"/>
              <i n="[Transactions].[region].&amp;[Canberra]" c="Canberra"/>
              <i n="[Transactions].[region].&amp;[Hobart]" c="Hobart"/>
              <i n="[Transactions].[region].&amp;[Melbourne]" c="Melbourne"/>
              <i n="[Transactions].[region].&amp;[Perth]" c="Perth"/>
              <i n="[Transactions].[region].&amp;[Sydney]" c="Sydney"/>
              <i n="[Transactions].[region].&amp;[Unknown]" c="Unknown"/>
            </range>
          </ranges>
        </level>
      </levels>
      <selections count="1">
        <selection n="[Transaction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45DCF9B-422B-4D2B-AA08-1FC2A3E7DC40}" sourceName="[Transactions].[customer_segment]">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customer_segment].[(All)]" sourceCaption="(All)" count="0"/>
        <level uniqueName="[Transactions].[customer_segment].[customer_segment]" sourceCaption="customer_segment" count="2">
          <ranges>
            <range startItem="0">
              <i n="[Transactions].[customer_segment].&amp;[Postpaid]" c="Postpaid"/>
              <i n="[Transactions].[customer_segment].&amp;[Prepaid]" c="Prepaid"/>
            </range>
          </ranges>
        </level>
      </levels>
      <selections count="1">
        <selection n="[Transactions].[customer_segmen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CECF96DB-9D33-4DBB-A4BB-E1673E0B4687}" sourceName="[Transactions].[product_type]">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product_type].[(All)]" sourceCaption="(All)" count="0"/>
        <level uniqueName="[Transactions].[product_type].[product_type]" sourceCaption="product_type" count="4">
          <ranges>
            <range startItem="0">
              <i n="[Transactions].[product_type].&amp;[Data Bundle]" c="Data Bundle"/>
              <i n="[Transactions].[product_type].&amp;[Recharge]" c="Recharge"/>
              <i n="[Transactions].[product_type].&amp;[SMS Bundle]" c="SMS Bundle"/>
              <i n="[Transactions].[product_type].&amp;[Voice Bundle]" c="Voice Bundle"/>
            </range>
          </ranges>
        </level>
      </levels>
      <selections count="1">
        <selection n="[Transactions].[product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D8956907-DC28-4CE0-8683-CA67B6A7FEC9}" sourceName="[Transactions].[channel]">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Transactions].[channel].[(All)]" sourceCaption="(All)" count="0"/>
        <level uniqueName="[Transactions].[channel].[channel]" sourceCaption="channel" count="4">
          <ranges>
            <range startItem="0">
              <i n="[Transactions].[channel].&amp;[Agent]" c="Agent"/>
              <i n="[Transactions].[channel].&amp;[Mobile App]" c="Mobile App"/>
              <i n="[Transactions].[channel].&amp;[USSD]" c="USSD"/>
              <i n="[Transactions].[channel].&amp;[Web]" c="Web"/>
            </range>
          </ranges>
        </level>
      </levels>
      <selections count="1">
        <selection n="[Transactions].[channel].[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0D6BD9FA-38FD-48C0-9206-0A38A97A93B1}" sourceName="[Calendar].[Quarter]">
  <pivotTables>
    <pivotTable tabId="3" name="ptRegion"/>
    <pivotTable tabId="3" name="ptMonth"/>
    <pivotTable tabId="3" name="ptProduct"/>
    <pivotTable tabId="3" name="ptChannel"/>
    <pivotTable tabId="3" name="ptFailure"/>
    <pivotTable tabId="3" name="ptStatus"/>
    <pivotTable tabId="2" name="ptBundles"/>
    <pivotTable tabId="2" name="ptRegions"/>
  </pivotTables>
  <data>
    <olap pivotCacheId="1292679989">
      <levels count="2">
        <level uniqueName="[Calendar].[Quarter].[(All)]" sourceCaption="(All)" count="0"/>
        <level uniqueName="[Calendar].[Quarter].[Quarter]" sourceCaption="Quarter" count="5">
          <ranges>
            <range startItem="0">
              <i n="[Calendar].[Quarter].&amp;[Q1]" c="Q1"/>
              <i n="[Calendar].[Quarter].&amp;[Q2]" c="Q2"/>
              <i n="[Calendar].[Quarter].&amp;[Q3]" c="Q3"/>
              <i n="[Calendar].[Quarter].&amp;[Q4]" c="Q4"/>
              <i n="[Calendar].[Quarter].&amp;" c="(blank)"/>
            </range>
          </ranges>
        </level>
      </levels>
      <selections count="1">
        <selection n="[Calendar].[Quart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41426EB-71C0-4A45-8831-C4746B5E55EB}" cache="Slicer_Region" caption="Region" level="1" style="SlicerStyleLight6" rowHeight="190500"/>
  <slicer name="Segment" xr10:uid="{17219966-A407-4CE1-B707-AEFA1D713356}" cache="Slicer_Segment" caption="Segment" level="1" style="SlicerStyleLight6" rowHeight="190500"/>
  <slicer name="Product" xr10:uid="{735F63EC-1FC7-43C4-AE26-A3F89AF5DA74}" cache="Slicer_Product" caption="Product" level="1" style="SlicerStyleLight6" rowHeight="190500"/>
  <slicer name="Channel" xr10:uid="{8824CD4A-8FDB-4C29-B9F5-5F82BA2BFD59}" cache="Slicer_Channel" caption="Channel" level="1" style="SlicerStyleLight6" rowHeight="190500"/>
  <slicer name="Quarter" xr10:uid="{18B18CAC-CBA2-428A-8623-948BA9ED084A}" cache="Slicer_Quarter" caption="Quarter" level="1" style="SlicerStyleLight6" rowHeight="1905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DDDD6-94DB-4AB7-83A4-E3F77F159FA5}">
  <dimension ref="A1:Z60"/>
  <sheetViews>
    <sheetView showGridLines="0" tabSelected="1" zoomScale="90" zoomScaleNormal="90" workbookViewId="0"/>
  </sheetViews>
  <sheetFormatPr defaultRowHeight="14.25" x14ac:dyDescent="0.2"/>
  <cols>
    <col min="1" max="26" width="9.7109375" style="8" customWidth="1"/>
    <col min="27" max="16384" width="9.140625" style="8"/>
  </cols>
  <sheetData>
    <row r="1" spans="1:26" ht="18.95" customHeight="1" x14ac:dyDescent="0.2">
      <c r="A1" s="9"/>
      <c r="B1" s="9"/>
      <c r="C1" s="9"/>
      <c r="D1" s="9"/>
      <c r="E1" s="9"/>
      <c r="F1" s="9"/>
      <c r="G1" s="9"/>
      <c r="H1" s="9"/>
      <c r="I1" s="9"/>
      <c r="J1" s="9"/>
      <c r="K1" s="9"/>
      <c r="L1" s="9"/>
      <c r="M1" s="9"/>
      <c r="N1" s="9"/>
      <c r="O1" s="9"/>
      <c r="P1" s="9"/>
      <c r="Q1" s="9"/>
      <c r="R1" s="9"/>
      <c r="S1" s="9"/>
      <c r="T1" s="9"/>
      <c r="U1" s="9"/>
      <c r="V1" s="9"/>
      <c r="W1" s="9"/>
      <c r="X1" s="9"/>
      <c r="Y1" s="9"/>
      <c r="Z1" s="9"/>
    </row>
    <row r="2" spans="1:26" ht="18.95" customHeight="1" x14ac:dyDescent="0.2">
      <c r="A2" s="9"/>
      <c r="B2" s="9"/>
      <c r="C2" s="9"/>
      <c r="D2" s="9"/>
      <c r="E2" s="9"/>
      <c r="F2" s="9"/>
      <c r="G2" s="9"/>
      <c r="H2" s="9"/>
      <c r="I2" s="9"/>
      <c r="J2" s="9"/>
      <c r="K2" s="9"/>
      <c r="L2" s="9"/>
      <c r="M2" s="9"/>
      <c r="N2" s="9"/>
      <c r="O2" s="9"/>
      <c r="P2" s="9"/>
      <c r="Q2" s="9"/>
      <c r="R2" s="9"/>
      <c r="S2" s="9"/>
      <c r="T2" s="9"/>
      <c r="U2" s="9"/>
      <c r="V2" s="9"/>
      <c r="W2" s="9"/>
      <c r="X2" s="9"/>
      <c r="Y2" s="9"/>
      <c r="Z2" s="9"/>
    </row>
    <row r="3" spans="1:26" ht="18.95" customHeight="1" x14ac:dyDescent="0.2">
      <c r="A3" s="9"/>
      <c r="B3" s="9"/>
      <c r="C3" s="9"/>
      <c r="D3" s="9"/>
      <c r="E3" s="9"/>
      <c r="F3" s="9"/>
      <c r="G3" s="9"/>
      <c r="H3" s="9"/>
      <c r="I3" s="9"/>
      <c r="J3" s="9"/>
      <c r="K3" s="9"/>
      <c r="L3" s="9"/>
      <c r="M3" s="9"/>
      <c r="N3" s="9"/>
      <c r="O3" s="9"/>
      <c r="P3" s="9"/>
      <c r="Q3" s="9"/>
      <c r="R3" s="9"/>
      <c r="S3" s="9"/>
      <c r="T3" s="9"/>
      <c r="U3" s="9"/>
      <c r="V3" s="9"/>
      <c r="W3" s="9"/>
      <c r="X3" s="9"/>
      <c r="Y3" s="9"/>
      <c r="Z3" s="9"/>
    </row>
    <row r="4" spans="1:26" ht="9.9499999999999993" customHeight="1" thickBot="1" x14ac:dyDescent="0.25">
      <c r="A4" s="10"/>
      <c r="B4" s="10"/>
      <c r="C4" s="10"/>
      <c r="D4" s="10"/>
      <c r="E4" s="10"/>
      <c r="F4" s="10"/>
      <c r="G4" s="10"/>
      <c r="H4" s="10"/>
      <c r="I4" s="10"/>
      <c r="J4" s="10"/>
      <c r="K4" s="10"/>
      <c r="L4" s="10"/>
      <c r="M4" s="10"/>
      <c r="N4" s="10"/>
      <c r="O4" s="10"/>
      <c r="P4" s="10"/>
      <c r="Q4" s="10"/>
      <c r="R4" s="10"/>
      <c r="S4" s="10"/>
      <c r="T4" s="10"/>
      <c r="U4" s="10"/>
      <c r="V4" s="10"/>
      <c r="W4" s="10"/>
      <c r="X4" s="10"/>
      <c r="Y4" s="10"/>
      <c r="Z4" s="10"/>
    </row>
    <row r="5" spans="1:26" x14ac:dyDescent="0.2">
      <c r="A5" s="10"/>
      <c r="B5" s="10"/>
      <c r="C5" s="10"/>
      <c r="D5" s="19" t="s">
        <v>64</v>
      </c>
      <c r="E5" s="20"/>
      <c r="F5" s="20"/>
      <c r="G5" s="19" t="s">
        <v>65</v>
      </c>
      <c r="H5" s="20"/>
      <c r="I5" s="20"/>
      <c r="J5" s="19" t="s">
        <v>66</v>
      </c>
      <c r="K5" s="20"/>
      <c r="L5" s="20"/>
      <c r="M5" s="19" t="s">
        <v>67</v>
      </c>
      <c r="N5" s="20"/>
      <c r="O5" s="20"/>
      <c r="P5" s="19" t="s">
        <v>68</v>
      </c>
      <c r="Q5" s="20"/>
      <c r="R5" s="20"/>
      <c r="S5" s="19" t="s">
        <v>69</v>
      </c>
      <c r="T5" s="20"/>
      <c r="U5" s="29"/>
      <c r="V5" s="10"/>
      <c r="W5" s="10"/>
      <c r="X5" s="10"/>
      <c r="Y5" s="10"/>
      <c r="Z5" s="10"/>
    </row>
    <row r="6" spans="1:26" x14ac:dyDescent="0.2">
      <c r="A6" s="10"/>
      <c r="B6" s="10"/>
      <c r="C6" s="10"/>
      <c r="D6" s="25" vm="1">
        <f>CUBEVALUE("ThisWorkbookDataModel","[Measures].[Revenue]",Slicer_Region,Slicer_Segment,Slicer_Product,Slicer_Channel,Slicer_Quarter)</f>
        <v>42723</v>
      </c>
      <c r="E6" s="26"/>
      <c r="F6" s="26"/>
      <c r="G6" s="21" vm="2">
        <f>CUBEVALUE("ThisWorkbookDataModel","[Measures].[Transaction Count]",Slicer_Region,Slicer_Segment,Slicer_Product,Slicer_Channel,Slicer_Quarter)</f>
        <v>4233</v>
      </c>
      <c r="H6" s="22"/>
      <c r="I6" s="22"/>
      <c r="J6" s="32" vm="3">
        <f>CUBEVALUE("ThisWorkbookDataModel","[Measures].[Success Rate]",Slicer_Region,Slicer_Segment,Slicer_Product,Slicer_Channel,Slicer_Quarter)</f>
        <v>0.80888258918025047</v>
      </c>
      <c r="K6" s="33"/>
      <c r="L6" s="33"/>
      <c r="M6" s="21" vm="4">
        <f>CUBEVALUE("ThisWorkbookDataModel","[Measures].[Active Customers]",Slicer_Region,Slicer_Segment,Slicer_Product,Slicer_Channel,Slicer_Quarter)</f>
        <v>889</v>
      </c>
      <c r="N6" s="22"/>
      <c r="O6" s="22"/>
      <c r="P6" s="25" vm="5">
        <f>CUBEVALUE("ThisWorkbookDataModel","[Measures].[Average Ticket]",Slicer_Region,Slicer_Segment,Slicer_Product,Slicer_Channel,Slicer_Quarter)</f>
        <v>12.477511682242991</v>
      </c>
      <c r="Q6" s="26"/>
      <c r="R6" s="26"/>
      <c r="S6" s="25" vm="6">
        <f>CUBEVALUE("ThisWorkbookDataModel","[Measures].[Revenue Lost]",Slicer_Region,Slicer_Segment,Slicer_Product,Slicer_Channel,Slicer_Quarter)</f>
        <v>5919.5</v>
      </c>
      <c r="T6" s="26"/>
      <c r="U6" s="30"/>
      <c r="V6" s="10"/>
      <c r="W6" s="10"/>
      <c r="X6" s="10"/>
      <c r="Y6" s="10"/>
      <c r="Z6" s="10"/>
    </row>
    <row r="7" spans="1:26" x14ac:dyDescent="0.2">
      <c r="A7" s="10"/>
      <c r="B7" s="10"/>
      <c r="C7" s="10"/>
      <c r="D7" s="27"/>
      <c r="E7" s="28"/>
      <c r="F7" s="28"/>
      <c r="G7" s="23"/>
      <c r="H7" s="24"/>
      <c r="I7" s="24"/>
      <c r="J7" s="34"/>
      <c r="K7" s="35"/>
      <c r="L7" s="35"/>
      <c r="M7" s="23"/>
      <c r="N7" s="24"/>
      <c r="O7" s="24"/>
      <c r="P7" s="27"/>
      <c r="Q7" s="28"/>
      <c r="R7" s="28"/>
      <c r="S7" s="27"/>
      <c r="T7" s="28"/>
      <c r="U7" s="31"/>
      <c r="V7" s="10"/>
      <c r="W7" s="10"/>
      <c r="X7" s="10"/>
      <c r="Y7" s="10"/>
      <c r="Z7" s="10"/>
    </row>
    <row r="8" spans="1:26" ht="9.9499999999999993" customHeight="1" x14ac:dyDescent="0.2">
      <c r="A8" s="10"/>
      <c r="B8" s="10"/>
      <c r="C8" s="10"/>
      <c r="D8" s="10"/>
      <c r="E8" s="10"/>
      <c r="F8" s="10"/>
      <c r="G8" s="10"/>
      <c r="H8" s="10"/>
      <c r="I8" s="10"/>
      <c r="J8" s="10"/>
      <c r="K8" s="10"/>
      <c r="L8" s="10"/>
      <c r="M8" s="10"/>
      <c r="N8" s="10"/>
      <c r="O8" s="10"/>
      <c r="P8" s="10"/>
      <c r="Q8" s="10"/>
      <c r="R8" s="10"/>
      <c r="S8" s="10"/>
      <c r="T8" s="10"/>
      <c r="U8" s="10"/>
      <c r="V8" s="10"/>
      <c r="W8" s="10"/>
      <c r="X8" s="10"/>
      <c r="Y8" s="10"/>
      <c r="Z8" s="10"/>
    </row>
    <row r="9" spans="1:26" x14ac:dyDescent="0.2">
      <c r="A9" s="10"/>
      <c r="B9" s="10"/>
      <c r="C9" s="10"/>
      <c r="D9" s="10"/>
      <c r="E9" s="10"/>
      <c r="F9" s="10"/>
      <c r="G9" s="10"/>
      <c r="H9" s="10"/>
      <c r="I9" s="10"/>
      <c r="J9" s="10"/>
      <c r="K9" s="10"/>
      <c r="L9" s="10"/>
      <c r="M9" s="10"/>
      <c r="N9" s="10"/>
      <c r="O9" s="10"/>
      <c r="P9" s="10"/>
      <c r="Q9" s="10"/>
      <c r="R9" s="10"/>
      <c r="S9" s="10"/>
      <c r="T9" s="10"/>
      <c r="U9" s="10"/>
      <c r="V9" s="10"/>
      <c r="W9" s="10"/>
      <c r="X9" s="10"/>
      <c r="Y9" s="10"/>
      <c r="Z9" s="10"/>
    </row>
    <row r="10" spans="1:26" x14ac:dyDescent="0.2">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spans="1:26" x14ac:dyDescent="0.2">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spans="1:26" x14ac:dyDescent="0.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spans="1:26" x14ac:dyDescent="0.2">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spans="1:26" x14ac:dyDescent="0.2">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spans="1:26" x14ac:dyDescent="0.2">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spans="1:26" x14ac:dyDescent="0.2">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spans="1:26" x14ac:dyDescent="0.2">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spans="1:26" x14ac:dyDescent="0.2">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x14ac:dyDescent="0.2">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x14ac:dyDescent="0.2">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x14ac:dyDescent="0.2">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x14ac:dyDescent="0.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x14ac:dyDescent="0.2">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x14ac:dyDescent="0.2">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x14ac:dyDescent="0.2">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x14ac:dyDescent="0.2">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x14ac:dyDescent="0.2">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x14ac:dyDescent="0.2">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x14ac:dyDescent="0.2">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x14ac:dyDescent="0.2">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x14ac:dyDescent="0.2">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x14ac:dyDescent="0.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x14ac:dyDescent="0.2">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x14ac:dyDescent="0.2">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x14ac:dyDescent="0.2">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x14ac:dyDescent="0.2">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x14ac:dyDescent="0.2">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x14ac:dyDescent="0.2">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x14ac:dyDescent="0.2">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x14ac:dyDescent="0.2">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x14ac:dyDescent="0.2">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x14ac:dyDescent="0.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x14ac:dyDescent="0.2">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x14ac:dyDescent="0.2">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x14ac:dyDescent="0.2">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x14ac:dyDescent="0.2">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x14ac:dyDescent="0.2">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x14ac:dyDescent="0.2">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x14ac:dyDescent="0.2">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x14ac:dyDescent="0.2">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x14ac:dyDescent="0.2">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x14ac:dyDescent="0.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x14ac:dyDescent="0.2">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x14ac:dyDescent="0.2">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x14ac:dyDescent="0.2">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x14ac:dyDescent="0.2">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x14ac:dyDescent="0.2">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x14ac:dyDescent="0.2">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x14ac:dyDescent="0.2">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x14ac:dyDescent="0.2">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sheetData>
  <mergeCells count="12">
    <mergeCell ref="D5:F5"/>
    <mergeCell ref="D6:F7"/>
    <mergeCell ref="G5:I5"/>
    <mergeCell ref="G6:I7"/>
    <mergeCell ref="J5:L5"/>
    <mergeCell ref="J6:L7"/>
    <mergeCell ref="M5:O5"/>
    <mergeCell ref="M6:O7"/>
    <mergeCell ref="P5:R5"/>
    <mergeCell ref="P6:R7"/>
    <mergeCell ref="S5:U5"/>
    <mergeCell ref="S6:U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81876-05D6-4297-A11B-2F9389370327}">
  <dimension ref="A1:N19"/>
  <sheetViews>
    <sheetView workbookViewId="0"/>
  </sheetViews>
  <sheetFormatPr defaultRowHeight="15" x14ac:dyDescent="0.25"/>
  <cols>
    <col min="1" max="1" width="16.7109375" customWidth="1"/>
    <col min="2" max="2" width="17.7109375" bestFit="1" customWidth="1"/>
    <col min="3" max="3" width="16" bestFit="1" customWidth="1"/>
    <col min="4" max="4" width="14.5703125" bestFit="1" customWidth="1"/>
    <col min="5" max="5" width="9.42578125" bestFit="1" customWidth="1"/>
    <col min="6" max="6" width="13.85546875" bestFit="1" customWidth="1"/>
    <col min="7" max="7" width="16.7109375" customWidth="1"/>
    <col min="8" max="8" width="11.28515625" bestFit="1" customWidth="1"/>
    <col min="9" max="9" width="18.140625" bestFit="1" customWidth="1"/>
    <col min="10" max="10" width="11.42578125" bestFit="1" customWidth="1"/>
    <col min="11" max="11" width="12.140625" bestFit="1" customWidth="1"/>
    <col min="12" max="12" width="14" bestFit="1" customWidth="1"/>
    <col min="13" max="13" width="13.85546875" bestFit="1" customWidth="1"/>
    <col min="14" max="14" width="9.42578125" bestFit="1" customWidth="1"/>
  </cols>
  <sheetData>
    <row r="1" spans="1:14" ht="21" x14ac:dyDescent="0.35">
      <c r="A1" s="5" t="s">
        <v>60</v>
      </c>
    </row>
    <row r="2" spans="1:14" x14ac:dyDescent="0.25">
      <c r="A2" s="6" t="s">
        <v>61</v>
      </c>
    </row>
    <row r="4" spans="1:14" x14ac:dyDescent="0.25">
      <c r="A4" s="7" t="s">
        <v>62</v>
      </c>
      <c r="H4" s="7" t="s">
        <v>63</v>
      </c>
    </row>
    <row r="5" spans="1:14" x14ac:dyDescent="0.25">
      <c r="A5" s="1" t="s">
        <v>28</v>
      </c>
      <c r="B5" s="1" t="s">
        <v>56</v>
      </c>
      <c r="C5" t="s">
        <v>53</v>
      </c>
      <c r="D5" t="s">
        <v>54</v>
      </c>
      <c r="E5" t="s">
        <v>13</v>
      </c>
      <c r="F5" t="s">
        <v>55</v>
      </c>
      <c r="H5" s="1" t="s">
        <v>23</v>
      </c>
      <c r="I5" t="s">
        <v>38</v>
      </c>
      <c r="J5" t="s">
        <v>57</v>
      </c>
      <c r="K5" t="s">
        <v>34</v>
      </c>
      <c r="L5" t="s">
        <v>58</v>
      </c>
      <c r="M5" t="s">
        <v>55</v>
      </c>
      <c r="N5" t="s">
        <v>13</v>
      </c>
    </row>
    <row r="6" spans="1:14" x14ac:dyDescent="0.25">
      <c r="A6" t="s">
        <v>24</v>
      </c>
      <c r="B6" t="s">
        <v>40</v>
      </c>
      <c r="C6" s="4">
        <v>200</v>
      </c>
      <c r="D6" s="2">
        <v>35</v>
      </c>
      <c r="E6" s="2">
        <v>7000</v>
      </c>
      <c r="F6" s="2">
        <v>1260</v>
      </c>
      <c r="H6" t="s">
        <v>21</v>
      </c>
      <c r="I6" s="4">
        <v>1359</v>
      </c>
      <c r="J6" s="4">
        <v>321</v>
      </c>
      <c r="K6" s="3">
        <v>0.23620309050772628</v>
      </c>
      <c r="L6" s="3">
        <v>0.12141280353200883</v>
      </c>
      <c r="M6" s="2">
        <v>3426.5</v>
      </c>
      <c r="N6" s="2">
        <v>11231.5</v>
      </c>
    </row>
    <row r="7" spans="1:14" x14ac:dyDescent="0.25">
      <c r="B7" t="s">
        <v>41</v>
      </c>
      <c r="C7" s="4">
        <v>373</v>
      </c>
      <c r="D7" s="2">
        <v>3.5</v>
      </c>
      <c r="E7" s="2">
        <v>1305.5</v>
      </c>
      <c r="F7" s="2">
        <v>213.5</v>
      </c>
      <c r="H7" t="s">
        <v>19</v>
      </c>
      <c r="I7" s="4">
        <v>681</v>
      </c>
      <c r="J7" s="4">
        <v>49</v>
      </c>
      <c r="K7" s="3">
        <v>7.1953010279001473E-2</v>
      </c>
      <c r="L7" s="3">
        <v>4.552129221732746E-2</v>
      </c>
      <c r="M7" s="2">
        <v>730</v>
      </c>
      <c r="N7" s="2">
        <v>7371.5</v>
      </c>
    </row>
    <row r="8" spans="1:14" x14ac:dyDescent="0.25">
      <c r="B8" t="s">
        <v>42</v>
      </c>
      <c r="C8" s="4">
        <v>300</v>
      </c>
      <c r="D8" s="2">
        <v>8</v>
      </c>
      <c r="E8" s="2">
        <v>2400</v>
      </c>
      <c r="F8" s="2">
        <v>384</v>
      </c>
      <c r="H8" t="s">
        <v>16</v>
      </c>
      <c r="I8" s="4">
        <v>509</v>
      </c>
      <c r="J8" s="4">
        <v>27</v>
      </c>
      <c r="K8" s="3">
        <v>5.304518664047151E-2</v>
      </c>
      <c r="L8" s="3">
        <v>2.1611001964636542E-2</v>
      </c>
      <c r="M8" s="2">
        <v>413.5</v>
      </c>
      <c r="N8" s="2">
        <v>6221.5</v>
      </c>
    </row>
    <row r="9" spans="1:14" x14ac:dyDescent="0.25">
      <c r="B9" t="s">
        <v>43</v>
      </c>
      <c r="C9" s="4">
        <v>120</v>
      </c>
      <c r="D9" s="2">
        <v>110</v>
      </c>
      <c r="E9" s="2">
        <v>13200</v>
      </c>
      <c r="F9" s="2">
        <v>1650</v>
      </c>
      <c r="H9" t="s">
        <v>20</v>
      </c>
      <c r="I9" s="4">
        <v>491</v>
      </c>
      <c r="J9" s="4">
        <v>45</v>
      </c>
      <c r="K9" s="3">
        <v>9.1649694501018328E-2</v>
      </c>
      <c r="L9" s="3">
        <v>5.2953156822810592E-2</v>
      </c>
      <c r="M9" s="2">
        <v>597</v>
      </c>
      <c r="N9" s="2">
        <v>4839</v>
      </c>
    </row>
    <row r="10" spans="1:14" x14ac:dyDescent="0.25">
      <c r="B10" t="s">
        <v>44</v>
      </c>
      <c r="C10" s="4">
        <v>267</v>
      </c>
      <c r="D10" s="2">
        <v>25</v>
      </c>
      <c r="E10" s="2">
        <v>6675</v>
      </c>
      <c r="F10" s="2">
        <v>600</v>
      </c>
      <c r="H10" t="s">
        <v>15</v>
      </c>
      <c r="I10" s="4">
        <v>439</v>
      </c>
      <c r="J10" s="4">
        <v>30</v>
      </c>
      <c r="K10" s="3">
        <v>6.8337129840546698E-2</v>
      </c>
      <c r="L10" s="3">
        <v>4.7835990888382689E-2</v>
      </c>
      <c r="M10" s="2">
        <v>256.5</v>
      </c>
      <c r="N10" s="2">
        <v>4281</v>
      </c>
    </row>
    <row r="11" spans="1:14" x14ac:dyDescent="0.25">
      <c r="A11" t="s">
        <v>25</v>
      </c>
      <c r="B11" t="s">
        <v>45</v>
      </c>
      <c r="C11" s="4">
        <v>406</v>
      </c>
      <c r="D11" s="2">
        <v>1</v>
      </c>
      <c r="E11" s="2">
        <v>406</v>
      </c>
      <c r="F11" s="2">
        <v>60</v>
      </c>
      <c r="H11" t="s">
        <v>17</v>
      </c>
      <c r="I11" s="4">
        <v>329</v>
      </c>
      <c r="J11" s="4">
        <v>25</v>
      </c>
      <c r="K11" s="3">
        <v>7.598784194528875E-2</v>
      </c>
      <c r="L11" s="3">
        <v>2.7355623100303952E-2</v>
      </c>
      <c r="M11" s="2">
        <v>211</v>
      </c>
      <c r="N11" s="2">
        <v>4128</v>
      </c>
    </row>
    <row r="12" spans="1:14" x14ac:dyDescent="0.25">
      <c r="B12" t="s">
        <v>46</v>
      </c>
      <c r="C12" s="4">
        <v>299</v>
      </c>
      <c r="D12" s="2">
        <v>10</v>
      </c>
      <c r="E12" s="2">
        <v>2990</v>
      </c>
      <c r="F12" s="2">
        <v>510</v>
      </c>
      <c r="H12" t="s">
        <v>18</v>
      </c>
      <c r="I12" s="4">
        <v>286</v>
      </c>
      <c r="J12" s="4">
        <v>7</v>
      </c>
      <c r="K12" s="3">
        <v>2.4475524475524476E-2</v>
      </c>
      <c r="L12" s="3">
        <v>4.195804195804196E-2</v>
      </c>
      <c r="M12" s="2">
        <v>64</v>
      </c>
      <c r="N12" s="2">
        <v>3557.5</v>
      </c>
    </row>
    <row r="13" spans="1:14" x14ac:dyDescent="0.25">
      <c r="B13" t="s">
        <v>47</v>
      </c>
      <c r="C13" s="4">
        <v>401</v>
      </c>
      <c r="D13" s="2">
        <v>2</v>
      </c>
      <c r="E13" s="2">
        <v>802</v>
      </c>
      <c r="F13" s="2">
        <v>142</v>
      </c>
      <c r="H13" t="s">
        <v>22</v>
      </c>
      <c r="I13" s="4">
        <v>139</v>
      </c>
      <c r="J13" s="4">
        <v>19</v>
      </c>
      <c r="K13" s="3">
        <v>0.1366906474820144</v>
      </c>
      <c r="L13" s="3">
        <v>7.9136690647482008E-2</v>
      </c>
      <c r="M13" s="2">
        <v>221</v>
      </c>
      <c r="N13" s="2">
        <v>1093</v>
      </c>
    </row>
    <row r="14" spans="1:14" x14ac:dyDescent="0.25">
      <c r="B14" t="s">
        <v>48</v>
      </c>
      <c r="C14" s="4">
        <v>168</v>
      </c>
      <c r="D14" s="2">
        <v>20</v>
      </c>
      <c r="E14" s="2">
        <v>3360</v>
      </c>
      <c r="F14" s="2">
        <v>380</v>
      </c>
      <c r="H14" t="s">
        <v>12</v>
      </c>
      <c r="I14" s="4">
        <v>4233</v>
      </c>
      <c r="J14" s="4">
        <v>523</v>
      </c>
      <c r="K14" s="3">
        <v>0.12355303567210016</v>
      </c>
      <c r="L14" s="3">
        <v>6.7564375147649416E-2</v>
      </c>
      <c r="M14" s="2">
        <v>5919.5</v>
      </c>
      <c r="N14" s="2">
        <v>42723</v>
      </c>
    </row>
    <row r="15" spans="1:14" x14ac:dyDescent="0.25">
      <c r="B15" t="s">
        <v>49</v>
      </c>
      <c r="C15" s="4">
        <v>365</v>
      </c>
      <c r="D15" s="2">
        <v>5</v>
      </c>
      <c r="E15" s="2">
        <v>1825</v>
      </c>
      <c r="F15" s="2">
        <v>265</v>
      </c>
    </row>
    <row r="16" spans="1:14" x14ac:dyDescent="0.25">
      <c r="A16" t="s">
        <v>26</v>
      </c>
      <c r="B16" t="s">
        <v>50</v>
      </c>
      <c r="C16" s="4">
        <v>224</v>
      </c>
      <c r="D16" s="2">
        <v>2.5</v>
      </c>
      <c r="E16" s="2">
        <v>560</v>
      </c>
      <c r="F16" s="2">
        <v>80</v>
      </c>
    </row>
    <row r="17" spans="1:6" x14ac:dyDescent="0.25">
      <c r="A17" t="s">
        <v>27</v>
      </c>
      <c r="B17" t="s">
        <v>51</v>
      </c>
      <c r="C17" s="4">
        <v>171</v>
      </c>
      <c r="D17" s="2">
        <v>4.5</v>
      </c>
      <c r="E17" s="2">
        <v>769.5</v>
      </c>
      <c r="F17" s="2">
        <v>144</v>
      </c>
    </row>
    <row r="18" spans="1:6" x14ac:dyDescent="0.25">
      <c r="B18" t="s">
        <v>52</v>
      </c>
      <c r="C18" s="4">
        <v>130</v>
      </c>
      <c r="D18" s="2">
        <v>11</v>
      </c>
      <c r="E18" s="2">
        <v>1430</v>
      </c>
      <c r="F18" s="2">
        <v>231</v>
      </c>
    </row>
    <row r="19" spans="1:6" x14ac:dyDescent="0.25">
      <c r="A19" t="s">
        <v>12</v>
      </c>
      <c r="C19" s="4">
        <v>3424</v>
      </c>
      <c r="D19" s="2">
        <v>12.477511682242991</v>
      </c>
      <c r="E19" s="2">
        <v>42723</v>
      </c>
      <c r="F19" s="2">
        <v>5919.5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3F82-046D-48EB-9F64-F14A0B26C758}">
  <dimension ref="A1:Y16"/>
  <sheetViews>
    <sheetView workbookViewId="0"/>
  </sheetViews>
  <sheetFormatPr defaultRowHeight="15" x14ac:dyDescent="0.25"/>
  <cols>
    <col min="1" max="1" width="13" bestFit="1" customWidth="1"/>
    <col min="2" max="2" width="9.42578125" bestFit="1" customWidth="1"/>
    <col min="5" max="5" width="11.28515625" bestFit="1" customWidth="1"/>
    <col min="6" max="6" width="9.42578125" bestFit="1" customWidth="1"/>
    <col min="9" max="9" width="15.140625" bestFit="1" customWidth="1"/>
    <col min="10" max="10" width="9.42578125" bestFit="1" customWidth="1"/>
    <col min="13" max="13" width="11.28515625" bestFit="1" customWidth="1"/>
    <col min="14" max="14" width="9.42578125" bestFit="1" customWidth="1"/>
    <col min="17" max="17" width="11.28515625" bestFit="1" customWidth="1"/>
    <col min="18" max="18" width="12.140625" bestFit="1" customWidth="1"/>
    <col min="21" max="21" width="18.140625" bestFit="1" customWidth="1"/>
    <col min="22" max="24" width="10.85546875" bestFit="1" customWidth="1"/>
    <col min="25" max="25" width="11.28515625" bestFit="1" customWidth="1"/>
  </cols>
  <sheetData>
    <row r="1" spans="1:25" x14ac:dyDescent="0.25">
      <c r="A1" t="s">
        <v>59</v>
      </c>
    </row>
    <row r="3" spans="1:25" x14ac:dyDescent="0.25">
      <c r="A3" s="1" t="s">
        <v>14</v>
      </c>
      <c r="B3" t="s">
        <v>13</v>
      </c>
      <c r="E3" s="1" t="s">
        <v>23</v>
      </c>
      <c r="F3" t="s">
        <v>13</v>
      </c>
      <c r="I3" s="1" t="s">
        <v>28</v>
      </c>
      <c r="J3" t="s">
        <v>13</v>
      </c>
      <c r="M3" s="1" t="s">
        <v>33</v>
      </c>
      <c r="N3" t="s">
        <v>13</v>
      </c>
      <c r="Q3" s="1" t="s">
        <v>23</v>
      </c>
      <c r="R3" t="s">
        <v>34</v>
      </c>
      <c r="U3" s="1" t="s">
        <v>38</v>
      </c>
      <c r="V3" s="1" t="s">
        <v>39</v>
      </c>
    </row>
    <row r="4" spans="1:25" x14ac:dyDescent="0.25">
      <c r="A4" t="s">
        <v>0</v>
      </c>
      <c r="B4" s="2">
        <v>3071.5</v>
      </c>
      <c r="E4" t="s">
        <v>21</v>
      </c>
      <c r="F4" s="2">
        <v>11231.5</v>
      </c>
      <c r="I4" t="s">
        <v>24</v>
      </c>
      <c r="J4" s="2">
        <v>30580.5</v>
      </c>
      <c r="M4" t="s">
        <v>29</v>
      </c>
      <c r="N4" s="2">
        <v>11335.5</v>
      </c>
      <c r="Q4" t="s">
        <v>21</v>
      </c>
      <c r="R4" s="3">
        <v>0.23620309050772628</v>
      </c>
      <c r="U4" s="1" t="s">
        <v>33</v>
      </c>
      <c r="V4" t="s">
        <v>35</v>
      </c>
      <c r="W4" t="s">
        <v>36</v>
      </c>
      <c r="X4" t="s">
        <v>37</v>
      </c>
      <c r="Y4" t="s">
        <v>12</v>
      </c>
    </row>
    <row r="5" spans="1:25" x14ac:dyDescent="0.25">
      <c r="A5" t="s">
        <v>1</v>
      </c>
      <c r="B5" s="2">
        <v>3098</v>
      </c>
      <c r="E5" t="s">
        <v>19</v>
      </c>
      <c r="F5" s="2">
        <v>7371.5</v>
      </c>
      <c r="I5" t="s">
        <v>25</v>
      </c>
      <c r="J5" s="2">
        <v>9383</v>
      </c>
      <c r="M5" t="s">
        <v>32</v>
      </c>
      <c r="N5" s="2">
        <v>11080</v>
      </c>
      <c r="Q5" t="s">
        <v>22</v>
      </c>
      <c r="R5" s="3">
        <v>0.1366906474820144</v>
      </c>
      <c r="U5" t="s">
        <v>29</v>
      </c>
      <c r="V5" s="4">
        <v>141</v>
      </c>
      <c r="W5" s="4">
        <v>62</v>
      </c>
      <c r="X5" s="4">
        <v>872</v>
      </c>
      <c r="Y5" s="4">
        <v>1075</v>
      </c>
    </row>
    <row r="6" spans="1:25" x14ac:dyDescent="0.25">
      <c r="A6" t="s">
        <v>2</v>
      </c>
      <c r="B6" s="2">
        <v>3734.5</v>
      </c>
      <c r="E6" t="s">
        <v>16</v>
      </c>
      <c r="F6" s="2">
        <v>6221.5</v>
      </c>
      <c r="I6" t="s">
        <v>27</v>
      </c>
      <c r="J6" s="2">
        <v>2199.5</v>
      </c>
      <c r="M6" t="s">
        <v>30</v>
      </c>
      <c r="N6" s="2">
        <v>10484</v>
      </c>
      <c r="Q6" t="s">
        <v>20</v>
      </c>
      <c r="R6" s="3">
        <v>9.1649694501018328E-2</v>
      </c>
      <c r="U6" t="s">
        <v>30</v>
      </c>
      <c r="V6" s="4">
        <v>131</v>
      </c>
      <c r="W6" s="4">
        <v>85</v>
      </c>
      <c r="X6" s="4">
        <v>853</v>
      </c>
      <c r="Y6" s="4">
        <v>1069</v>
      </c>
    </row>
    <row r="7" spans="1:25" x14ac:dyDescent="0.25">
      <c r="A7" t="s">
        <v>3</v>
      </c>
      <c r="B7" s="2">
        <v>3269.5</v>
      </c>
      <c r="E7" t="s">
        <v>20</v>
      </c>
      <c r="F7" s="2">
        <v>4839</v>
      </c>
      <c r="I7" t="s">
        <v>26</v>
      </c>
      <c r="J7" s="2">
        <v>560</v>
      </c>
      <c r="M7" t="s">
        <v>31</v>
      </c>
      <c r="N7" s="2">
        <v>9823.5</v>
      </c>
      <c r="Q7" t="s">
        <v>17</v>
      </c>
      <c r="R7" s="3">
        <v>7.598784194528875E-2</v>
      </c>
      <c r="U7" t="s">
        <v>31</v>
      </c>
      <c r="V7" s="4">
        <v>123</v>
      </c>
      <c r="W7" s="4">
        <v>71</v>
      </c>
      <c r="X7" s="4">
        <v>827</v>
      </c>
      <c r="Y7" s="4">
        <v>1021</v>
      </c>
    </row>
    <row r="8" spans="1:25" x14ac:dyDescent="0.25">
      <c r="A8" t="s">
        <v>4</v>
      </c>
      <c r="B8" s="2">
        <v>3942</v>
      </c>
      <c r="E8" t="s">
        <v>15</v>
      </c>
      <c r="F8" s="2">
        <v>4281</v>
      </c>
      <c r="I8" t="s">
        <v>12</v>
      </c>
      <c r="J8" s="2">
        <v>42723</v>
      </c>
      <c r="M8" t="s">
        <v>12</v>
      </c>
      <c r="N8" s="2">
        <v>42723</v>
      </c>
      <c r="Q8" t="s">
        <v>19</v>
      </c>
      <c r="R8" s="3">
        <v>7.1953010279001473E-2</v>
      </c>
      <c r="U8" t="s">
        <v>32</v>
      </c>
      <c r="V8" s="4">
        <v>128</v>
      </c>
      <c r="W8" s="4">
        <v>68</v>
      </c>
      <c r="X8" s="4">
        <v>872</v>
      </c>
      <c r="Y8" s="4">
        <v>1068</v>
      </c>
    </row>
    <row r="9" spans="1:25" x14ac:dyDescent="0.25">
      <c r="A9" t="s">
        <v>5</v>
      </c>
      <c r="B9" s="2">
        <v>3293.5</v>
      </c>
      <c r="E9" t="s">
        <v>17</v>
      </c>
      <c r="F9" s="2">
        <v>4128</v>
      </c>
      <c r="Q9" t="s">
        <v>15</v>
      </c>
      <c r="R9" s="3">
        <v>6.8337129840546698E-2</v>
      </c>
      <c r="U9" t="s">
        <v>12</v>
      </c>
      <c r="V9" s="4">
        <v>523</v>
      </c>
      <c r="W9" s="4">
        <v>286</v>
      </c>
      <c r="X9" s="4">
        <v>3424</v>
      </c>
      <c r="Y9" s="4">
        <v>4233</v>
      </c>
    </row>
    <row r="10" spans="1:25" x14ac:dyDescent="0.25">
      <c r="A10" t="s">
        <v>6</v>
      </c>
      <c r="B10" s="2">
        <v>3267.5</v>
      </c>
      <c r="E10" t="s">
        <v>18</v>
      </c>
      <c r="F10" s="2">
        <v>3557.5</v>
      </c>
      <c r="Q10" t="s">
        <v>16</v>
      </c>
      <c r="R10" s="3">
        <v>5.304518664047151E-2</v>
      </c>
    </row>
    <row r="11" spans="1:25" x14ac:dyDescent="0.25">
      <c r="A11" t="s">
        <v>7</v>
      </c>
      <c r="B11" s="2">
        <v>3887.5</v>
      </c>
      <c r="E11" t="s">
        <v>22</v>
      </c>
      <c r="F11" s="2">
        <v>1093</v>
      </c>
      <c r="Q11" t="s">
        <v>18</v>
      </c>
      <c r="R11" s="3">
        <v>2.4475524475524476E-2</v>
      </c>
    </row>
    <row r="12" spans="1:25" x14ac:dyDescent="0.25">
      <c r="A12" t="s">
        <v>8</v>
      </c>
      <c r="B12" s="2">
        <v>3025.5</v>
      </c>
      <c r="E12" t="s">
        <v>12</v>
      </c>
      <c r="F12" s="2">
        <v>42723</v>
      </c>
      <c r="Q12" t="s">
        <v>12</v>
      </c>
      <c r="R12" s="3">
        <v>0.12355303567210016</v>
      </c>
    </row>
    <row r="13" spans="1:25" x14ac:dyDescent="0.25">
      <c r="A13" t="s">
        <v>9</v>
      </c>
      <c r="B13" s="2">
        <v>3119.5</v>
      </c>
    </row>
    <row r="14" spans="1:25" x14ac:dyDescent="0.25">
      <c r="A14" t="s">
        <v>10</v>
      </c>
      <c r="B14" s="2">
        <v>3507.5</v>
      </c>
    </row>
    <row r="15" spans="1:25" x14ac:dyDescent="0.25">
      <c r="A15" t="s">
        <v>11</v>
      </c>
      <c r="B15" s="2">
        <v>3802.5</v>
      </c>
    </row>
    <row r="16" spans="1:25" x14ac:dyDescent="0.25">
      <c r="A16" t="s">
        <v>12</v>
      </c>
      <c r="B16" s="2">
        <v>41019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6884-9B43-460C-857F-9504101360CB}">
  <dimension ref="A1:E28"/>
  <sheetViews>
    <sheetView workbookViewId="0"/>
  </sheetViews>
  <sheetFormatPr defaultRowHeight="15" x14ac:dyDescent="0.25"/>
  <cols>
    <col min="1" max="1" width="16.7109375" style="12" customWidth="1"/>
    <col min="2" max="2" width="52.7109375" style="12" customWidth="1"/>
    <col min="3" max="3" width="12.7109375" style="12" customWidth="1"/>
    <col min="4" max="4" width="60.7109375" style="12" customWidth="1"/>
    <col min="5" max="5" width="52.7109375" style="12" customWidth="1"/>
    <col min="6" max="16384" width="9.140625" style="12"/>
  </cols>
  <sheetData>
    <row r="1" spans="1:5" ht="42" x14ac:dyDescent="0.25">
      <c r="A1" s="11" t="s">
        <v>70</v>
      </c>
    </row>
    <row r="2" spans="1:5" ht="120" x14ac:dyDescent="0.25">
      <c r="A2" s="13" t="s">
        <v>71</v>
      </c>
    </row>
    <row r="4" spans="1:5" ht="47.25" x14ac:dyDescent="0.25">
      <c r="A4" s="14" t="s">
        <v>72</v>
      </c>
    </row>
    <row r="5" spans="1:5" x14ac:dyDescent="0.25">
      <c r="A5" s="15" t="s">
        <v>73</v>
      </c>
      <c r="B5" s="15" t="s">
        <v>74</v>
      </c>
      <c r="C5" s="15" t="s">
        <v>75</v>
      </c>
      <c r="D5" s="15" t="s">
        <v>76</v>
      </c>
      <c r="E5" s="15" t="s">
        <v>77</v>
      </c>
    </row>
    <row r="6" spans="1:5" x14ac:dyDescent="0.25">
      <c r="A6" s="12" t="s">
        <v>78</v>
      </c>
      <c r="B6" s="12" t="s">
        <v>79</v>
      </c>
      <c r="C6" s="12">
        <v>4055</v>
      </c>
      <c r="D6" s="16" t="s">
        <v>80</v>
      </c>
      <c r="E6" s="12" t="s">
        <v>81</v>
      </c>
    </row>
    <row r="7" spans="1:5" x14ac:dyDescent="0.25">
      <c r="A7" s="12" t="s">
        <v>33</v>
      </c>
      <c r="B7" s="12" t="s">
        <v>82</v>
      </c>
      <c r="C7" s="12">
        <v>3338</v>
      </c>
      <c r="D7" s="16" t="s">
        <v>83</v>
      </c>
      <c r="E7" s="12" t="s">
        <v>84</v>
      </c>
    </row>
    <row r="8" spans="1:5" ht="30" x14ac:dyDescent="0.25">
      <c r="A8" s="12" t="s">
        <v>23</v>
      </c>
      <c r="B8" s="12" t="s">
        <v>85</v>
      </c>
      <c r="C8" s="12">
        <v>3196</v>
      </c>
      <c r="D8" s="16" t="s">
        <v>86</v>
      </c>
      <c r="E8" s="12" t="s">
        <v>84</v>
      </c>
    </row>
    <row r="9" spans="1:5" x14ac:dyDescent="0.25">
      <c r="A9" s="12" t="s">
        <v>87</v>
      </c>
      <c r="B9" s="12" t="s">
        <v>88</v>
      </c>
      <c r="C9" s="12">
        <v>2975</v>
      </c>
      <c r="D9" s="16" t="s">
        <v>89</v>
      </c>
      <c r="E9" s="12" t="s">
        <v>90</v>
      </c>
    </row>
    <row r="10" spans="1:5" x14ac:dyDescent="0.25">
      <c r="A10" s="12" t="s">
        <v>87</v>
      </c>
      <c r="B10" s="12" t="s">
        <v>91</v>
      </c>
      <c r="C10" s="12">
        <v>501</v>
      </c>
      <c r="D10" s="16" t="s">
        <v>92</v>
      </c>
      <c r="E10" s="12" t="s">
        <v>93</v>
      </c>
    </row>
    <row r="11" spans="1:5" ht="30" x14ac:dyDescent="0.25">
      <c r="A11" s="12" t="s">
        <v>94</v>
      </c>
      <c r="B11" s="12" t="s">
        <v>95</v>
      </c>
      <c r="C11" s="12">
        <v>435</v>
      </c>
      <c r="D11" s="16" t="s">
        <v>96</v>
      </c>
      <c r="E11" s="12" t="s">
        <v>97</v>
      </c>
    </row>
    <row r="12" spans="1:5" x14ac:dyDescent="0.25">
      <c r="A12" s="12" t="s">
        <v>94</v>
      </c>
      <c r="B12" s="12" t="s">
        <v>98</v>
      </c>
      <c r="C12" s="12">
        <v>312</v>
      </c>
      <c r="D12" s="16" t="s">
        <v>99</v>
      </c>
      <c r="E12" s="12" t="s">
        <v>100</v>
      </c>
    </row>
    <row r="13" spans="1:5" x14ac:dyDescent="0.25">
      <c r="A13" s="12" t="s">
        <v>23</v>
      </c>
      <c r="B13" s="12" t="s">
        <v>101</v>
      </c>
      <c r="C13" s="12">
        <v>139</v>
      </c>
      <c r="D13" s="16" t="s">
        <v>92</v>
      </c>
      <c r="E13" s="12" t="s">
        <v>102</v>
      </c>
    </row>
    <row r="14" spans="1:5" x14ac:dyDescent="0.25">
      <c r="A14" s="12" t="s">
        <v>78</v>
      </c>
      <c r="B14" s="12" t="s">
        <v>103</v>
      </c>
      <c r="C14" s="12">
        <v>110</v>
      </c>
      <c r="D14" s="16" t="s">
        <v>92</v>
      </c>
      <c r="E14" s="12" t="s">
        <v>104</v>
      </c>
    </row>
    <row r="15" spans="1:5" x14ac:dyDescent="0.25">
      <c r="A15" s="12" t="s">
        <v>78</v>
      </c>
      <c r="B15" s="12" t="s">
        <v>105</v>
      </c>
      <c r="C15" s="12">
        <v>68</v>
      </c>
      <c r="D15" s="16" t="s">
        <v>106</v>
      </c>
      <c r="E15" s="12" t="s">
        <v>104</v>
      </c>
    </row>
    <row r="16" spans="1:5" x14ac:dyDescent="0.25">
      <c r="A16" s="12" t="s">
        <v>107</v>
      </c>
      <c r="B16" s="12" t="s">
        <v>108</v>
      </c>
      <c r="C16" s="12">
        <v>55</v>
      </c>
      <c r="D16" s="16" t="s">
        <v>109</v>
      </c>
      <c r="E16" s="12" t="s">
        <v>110</v>
      </c>
    </row>
    <row r="17" spans="1:5" x14ac:dyDescent="0.25">
      <c r="A17" s="12" t="s">
        <v>87</v>
      </c>
      <c r="B17" s="12" t="s">
        <v>111</v>
      </c>
      <c r="C17" s="12">
        <v>7</v>
      </c>
      <c r="D17" s="16" t="s">
        <v>112</v>
      </c>
      <c r="E17" s="12" t="s">
        <v>113</v>
      </c>
    </row>
    <row r="20" spans="1:5" ht="31.5" x14ac:dyDescent="0.25">
      <c r="A20" s="14" t="s">
        <v>114</v>
      </c>
    </row>
    <row r="21" spans="1:5" x14ac:dyDescent="0.25">
      <c r="A21" s="15" t="s">
        <v>115</v>
      </c>
      <c r="B21" s="15" t="s">
        <v>116</v>
      </c>
      <c r="C21" s="15" t="s">
        <v>117</v>
      </c>
      <c r="D21" s="15" t="s">
        <v>118</v>
      </c>
      <c r="E21" s="15" t="s">
        <v>119</v>
      </c>
    </row>
    <row r="22" spans="1:5" x14ac:dyDescent="0.25">
      <c r="A22" s="12" t="s">
        <v>120</v>
      </c>
      <c r="B22" s="12" t="s">
        <v>48</v>
      </c>
      <c r="C22" s="12" t="s">
        <v>37</v>
      </c>
      <c r="D22" s="12">
        <v>800</v>
      </c>
      <c r="E22" s="12">
        <v>20</v>
      </c>
    </row>
    <row r="23" spans="1:5" x14ac:dyDescent="0.25">
      <c r="A23" s="12" t="s">
        <v>121</v>
      </c>
      <c r="B23" s="12" t="s">
        <v>48</v>
      </c>
      <c r="C23" s="12" t="s">
        <v>37</v>
      </c>
      <c r="D23" s="12">
        <v>1200</v>
      </c>
      <c r="E23" s="12">
        <v>20</v>
      </c>
    </row>
    <row r="24" spans="1:5" x14ac:dyDescent="0.25">
      <c r="A24" s="12" t="s">
        <v>122</v>
      </c>
      <c r="B24" s="12" t="s">
        <v>48</v>
      </c>
      <c r="C24" s="12" t="s">
        <v>37</v>
      </c>
      <c r="D24" s="12">
        <v>1500</v>
      </c>
      <c r="E24" s="12">
        <v>20</v>
      </c>
    </row>
    <row r="25" spans="1:5" x14ac:dyDescent="0.25">
      <c r="A25" s="12" t="s">
        <v>123</v>
      </c>
      <c r="B25" s="12" t="s">
        <v>48</v>
      </c>
      <c r="C25" s="12" t="s">
        <v>37</v>
      </c>
      <c r="D25" s="12">
        <v>800</v>
      </c>
      <c r="E25" s="12">
        <v>20</v>
      </c>
    </row>
    <row r="26" spans="1:5" x14ac:dyDescent="0.25">
      <c r="A26" s="12" t="s">
        <v>124</v>
      </c>
      <c r="B26" s="12" t="s">
        <v>48</v>
      </c>
      <c r="C26" s="12" t="s">
        <v>37</v>
      </c>
      <c r="D26" s="12">
        <v>800</v>
      </c>
      <c r="E26" s="12">
        <v>20</v>
      </c>
    </row>
    <row r="27" spans="1:5" x14ac:dyDescent="0.25">
      <c r="A27" s="12" t="s">
        <v>125</v>
      </c>
      <c r="B27" s="12" t="s">
        <v>48</v>
      </c>
      <c r="C27" s="12" t="s">
        <v>37</v>
      </c>
      <c r="D27" s="12">
        <v>1500</v>
      </c>
      <c r="E27" s="12">
        <v>20</v>
      </c>
    </row>
    <row r="28" spans="1:5" x14ac:dyDescent="0.25">
      <c r="A28" s="12" t="s">
        <v>126</v>
      </c>
      <c r="B28" s="12" t="s">
        <v>48</v>
      </c>
      <c r="C28" s="12" t="s">
        <v>37</v>
      </c>
      <c r="D28" s="12">
        <v>2000</v>
      </c>
      <c r="E28" s="12">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EC2EE-F207-4C42-B9F2-98DF78027A4C}">
  <dimension ref="A1:B23"/>
  <sheetViews>
    <sheetView workbookViewId="0"/>
  </sheetViews>
  <sheetFormatPr defaultRowHeight="15" x14ac:dyDescent="0.25"/>
  <cols>
    <col min="1" max="1" width="24.7109375" style="12" customWidth="1"/>
    <col min="2" max="2" width="120.7109375" style="12" customWidth="1"/>
    <col min="3" max="16384" width="9.140625" style="12"/>
  </cols>
  <sheetData>
    <row r="1" spans="1:2" ht="37.5" x14ac:dyDescent="0.25">
      <c r="A1" s="17" t="s">
        <v>127</v>
      </c>
    </row>
    <row r="2" spans="1:2" ht="30" x14ac:dyDescent="0.25">
      <c r="A2" s="18" t="s">
        <v>128</v>
      </c>
      <c r="B2" s="16" t="s">
        <v>129</v>
      </c>
    </row>
    <row r="3" spans="1:2" ht="30" x14ac:dyDescent="0.25">
      <c r="A3" s="18" t="s">
        <v>130</v>
      </c>
      <c r="B3" s="16" t="s">
        <v>131</v>
      </c>
    </row>
    <row r="4" spans="1:2" x14ac:dyDescent="0.25">
      <c r="A4" s="18" t="s">
        <v>132</v>
      </c>
      <c r="B4" s="16" t="s">
        <v>133</v>
      </c>
    </row>
    <row r="5" spans="1:2" ht="30" x14ac:dyDescent="0.25">
      <c r="A5" s="18" t="s">
        <v>134</v>
      </c>
      <c r="B5" s="16" t="s">
        <v>135</v>
      </c>
    </row>
    <row r="6" spans="1:2" x14ac:dyDescent="0.25">
      <c r="A6" s="18" t="s">
        <v>136</v>
      </c>
      <c r="B6" s="16" t="s">
        <v>137</v>
      </c>
    </row>
    <row r="7" spans="1:2" ht="18.75" x14ac:dyDescent="0.25">
      <c r="A7" s="17" t="s">
        <v>138</v>
      </c>
    </row>
    <row r="8" spans="1:2" x14ac:dyDescent="0.25">
      <c r="A8" s="18" t="s">
        <v>64</v>
      </c>
      <c r="B8" s="16" t="s">
        <v>139</v>
      </c>
    </row>
    <row r="9" spans="1:2" x14ac:dyDescent="0.25">
      <c r="A9" s="18" t="s">
        <v>140</v>
      </c>
      <c r="B9" s="16" t="s">
        <v>141</v>
      </c>
    </row>
    <row r="10" spans="1:2" x14ac:dyDescent="0.25">
      <c r="A10" s="18" t="s">
        <v>142</v>
      </c>
      <c r="B10" s="16" t="s">
        <v>143</v>
      </c>
    </row>
    <row r="11" spans="1:2" x14ac:dyDescent="0.25">
      <c r="A11" s="18" t="s">
        <v>144</v>
      </c>
      <c r="B11" s="16" t="s">
        <v>145</v>
      </c>
    </row>
    <row r="12" spans="1:2" x14ac:dyDescent="0.25">
      <c r="A12" s="18" t="s">
        <v>146</v>
      </c>
      <c r="B12" s="16" t="s">
        <v>147</v>
      </c>
    </row>
    <row r="13" spans="1:2" x14ac:dyDescent="0.25">
      <c r="A13" s="18" t="s">
        <v>148</v>
      </c>
      <c r="B13" s="16" t="s">
        <v>149</v>
      </c>
    </row>
    <row r="14" spans="1:2" x14ac:dyDescent="0.25">
      <c r="A14" s="18" t="s">
        <v>150</v>
      </c>
      <c r="B14" s="16" t="s">
        <v>151</v>
      </c>
    </row>
    <row r="15" spans="1:2" x14ac:dyDescent="0.25">
      <c r="A15" s="18" t="s">
        <v>152</v>
      </c>
      <c r="B15" s="16" t="s">
        <v>153</v>
      </c>
    </row>
    <row r="16" spans="1:2" x14ac:dyDescent="0.25">
      <c r="A16" s="18" t="s">
        <v>154</v>
      </c>
      <c r="B16" s="16" t="s">
        <v>155</v>
      </c>
    </row>
    <row r="17" spans="1:2" x14ac:dyDescent="0.25">
      <c r="A17" s="18" t="s">
        <v>156</v>
      </c>
      <c r="B17" s="16" t="s">
        <v>157</v>
      </c>
    </row>
    <row r="18" spans="1:2" x14ac:dyDescent="0.25">
      <c r="A18" s="18" t="s">
        <v>158</v>
      </c>
      <c r="B18" s="16" t="s">
        <v>159</v>
      </c>
    </row>
    <row r="19" spans="1:2" x14ac:dyDescent="0.25">
      <c r="A19" s="18" t="s">
        <v>160</v>
      </c>
      <c r="B19" s="16" t="s">
        <v>161</v>
      </c>
    </row>
    <row r="20" spans="1:2" x14ac:dyDescent="0.25">
      <c r="A20" s="18" t="s">
        <v>162</v>
      </c>
      <c r="B20" s="16" t="s">
        <v>163</v>
      </c>
    </row>
    <row r="21" spans="1:2" x14ac:dyDescent="0.25">
      <c r="A21" s="18" t="s">
        <v>164</v>
      </c>
      <c r="B21" s="16" t="s">
        <v>165</v>
      </c>
    </row>
    <row r="22" spans="1:2" x14ac:dyDescent="0.25">
      <c r="A22" s="18" t="s">
        <v>166</v>
      </c>
      <c r="B22" s="16" t="s">
        <v>167</v>
      </c>
    </row>
    <row r="23" spans="1:2" x14ac:dyDescent="0.25">
      <c r="A23" s="18" t="s">
        <v>168</v>
      </c>
      <c r="B23" s="16" t="s">
        <v>169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EDB54C-FECA-4C2F-9496-22E6B0D7A30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Detail</vt:lpstr>
      <vt:lpstr>Pivots</vt:lpstr>
      <vt:lpstr>Cleaning</vt:lpstr>
      <vt:lpstr>Read 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info</dc:creator>
  <cp:lastModifiedBy>info</cp:lastModifiedBy>
  <dcterms:created xsi:type="dcterms:W3CDTF">2026-10-02T07:16:40Z</dcterms:created>
  <dcterms:modified xsi:type="dcterms:W3CDTF">2026-10-02T07:19:45Z</dcterms:modified>
</cp:coreProperties>
</file>